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개요" sheetId="1" state="visible" r:id="rId3"/>
    <sheet name="1_입력값" sheetId="2" state="visible" r:id="rId4"/>
    <sheet name="2_핵심공식" sheetId="3" state="visible" r:id="rId5"/>
    <sheet name="★3_3케이스흐름" sheetId="4" state="visible" r:id="rId6"/>
    <sheet name="4_지배케이스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<sst xmlns="http://schemas.openxmlformats.org/spreadsheetml/2006/main" count="251" uniqueCount="199">
  <si>
    <r>
      <rPr>
        <b val="true"/>
        <sz val="16"/>
        <color rgb="FFFFFFFF"/>
        <rFont val="Noto Sans CJK SC"/>
        <family val="2"/>
      </rPr>
      <t xml:space="preserve">레일 이동하중 — </t>
    </r>
    <r>
      <rPr>
        <b val="true"/>
        <sz val="16"/>
        <color rgb="FFFFFFFF"/>
        <rFont val="Malgun Gothic"/>
        <family val="0"/>
        <charset val="1"/>
      </rPr>
      <t xml:space="preserve">3</t>
    </r>
    <r>
      <rPr>
        <b val="true"/>
        <sz val="16"/>
        <color rgb="FFFFFFFF"/>
        <rFont val="Noto Sans CJK SC"/>
        <family val="2"/>
      </rPr>
      <t xml:space="preserve">방향</t>
    </r>
    <r>
      <rPr>
        <b val="true"/>
        <sz val="16"/>
        <color rgb="FFFFFFFF"/>
        <rFont val="Malgun Gothic"/>
        <family val="0"/>
        <charset val="1"/>
      </rPr>
      <t xml:space="preserve">(X·Y·Z) </t>
    </r>
    <r>
      <rPr>
        <b val="true"/>
        <sz val="16"/>
        <color rgb="FFFFFFFF"/>
        <rFont val="Noto Sans CJK SC"/>
        <family val="2"/>
      </rPr>
      <t xml:space="preserve">힘 산정 공식설명</t>
    </r>
  </si>
  <si>
    <r>
      <rPr>
        <i val="true"/>
        <sz val="10"/>
        <color rgb="FFFFFFFF"/>
        <rFont val="Noto Sans CJK SC"/>
        <family val="2"/>
      </rPr>
      <t xml:space="preserve">구면진자</t>
    </r>
    <r>
      <rPr>
        <i val="true"/>
        <sz val="10"/>
        <color rgb="FFFFFFFF"/>
        <rFont val="Malgun Gothic"/>
        <family val="0"/>
        <charset val="1"/>
      </rPr>
      <t xml:space="preserve">(</t>
    </r>
    <r>
      <rPr>
        <i val="true"/>
        <sz val="10"/>
        <color rgb="FFFFFFFF"/>
        <rFont val="Noto Sans CJK SC"/>
        <family val="2"/>
      </rPr>
      <t xml:space="preserve">사람</t>
    </r>
    <r>
      <rPr>
        <i val="true"/>
        <sz val="10"/>
        <color rgb="FFFFFFFF"/>
        <rFont val="Malgun Gothic"/>
        <family val="0"/>
        <charset val="1"/>
      </rPr>
      <t xml:space="preserve">) + </t>
    </r>
    <r>
      <rPr>
        <i val="true"/>
        <sz val="10"/>
        <color rgb="FFFFFFFF"/>
        <rFont val="Noto Sans CJK SC"/>
        <family val="2"/>
      </rPr>
      <t xml:space="preserve">트롤리 모델 </t>
    </r>
    <r>
      <rPr>
        <i val="true"/>
        <sz val="10"/>
        <color rgb="FFFFFFFF"/>
        <rFont val="Malgun Gothic"/>
        <family val="0"/>
        <charset val="1"/>
      </rPr>
      <t xml:space="preserve">· </t>
    </r>
    <r>
      <rPr>
        <i val="true"/>
        <sz val="10"/>
        <color rgb="FFFFFFFF"/>
        <rFont val="Noto Sans CJK SC"/>
        <family val="2"/>
      </rPr>
      <t xml:space="preserve">노드별 </t>
    </r>
    <r>
      <rPr>
        <i val="true"/>
        <sz val="10"/>
        <color rgb="FFFFFFFF"/>
        <rFont val="Malgun Gothic"/>
        <family val="0"/>
        <charset val="1"/>
      </rPr>
      <t xml:space="preserve">ACC/CON/DEC </t>
    </r>
    <r>
      <rPr>
        <i val="true"/>
        <sz val="10"/>
        <color rgb="FFFFFFFF"/>
        <rFont val="Noto Sans CJK SC"/>
        <family val="2"/>
      </rPr>
      <t xml:space="preserve">동역학 산정</t>
    </r>
  </si>
  <si>
    <t xml:space="preserve">■ 무엇을 계산하나</t>
  </si>
  <si>
    <t xml:space="preserve">모델</t>
  </si>
  <si>
    <r>
      <rPr>
        <sz val="10"/>
        <color rgb="FF000000"/>
        <rFont val="Noto Sans CJK SC"/>
        <family val="2"/>
      </rPr>
      <t xml:space="preserve">레일을 따라 트롤리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동력체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가 달리고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 아래 줄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길이 </t>
    </r>
    <r>
      <rPr>
        <sz val="10"/>
        <color rgb="FF000000"/>
        <rFont val="Malgun Gothic"/>
        <family val="0"/>
        <charset val="1"/>
      </rPr>
      <t xml:space="preserve">L)</t>
    </r>
    <r>
      <rPr>
        <sz val="10"/>
        <color rgb="FF000000"/>
        <rFont val="Noto Sans CJK SC"/>
        <family val="2"/>
      </rPr>
      <t xml:space="preserve">에 사람이 구면진자처럼 매달린다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각 레일 부착노드에 걸리는 전역좌표 힘 </t>
    </r>
    <r>
      <rPr>
        <sz val="10"/>
        <color rgb="FF000000"/>
        <rFont val="Malgun Gothic"/>
        <family val="0"/>
        <charset val="1"/>
      </rPr>
      <t xml:space="preserve">F=(Fx,Fy,Fz)</t>
    </r>
    <r>
      <rPr>
        <sz val="10"/>
        <color rgb="FF000000"/>
        <rFont val="Noto Sans CJK SC"/>
        <family val="2"/>
      </rPr>
      <t xml:space="preserve">를 주행 </t>
    </r>
    <r>
      <rPr>
        <sz val="10"/>
        <color rgb="FF000000"/>
        <rFont val="Malgun Gothic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케이스에 대해 산정한다</t>
    </r>
    <r>
      <rPr>
        <sz val="10"/>
        <color rgb="FF000000"/>
        <rFont val="Malgun Gothic"/>
        <family val="0"/>
        <charset val="1"/>
      </rPr>
      <t xml:space="preserve">.</t>
    </r>
  </si>
  <si>
    <r>
      <rPr>
        <b val="true"/>
        <sz val="10"/>
        <color rgb="FF595959"/>
        <rFont val="Malgun Gothic"/>
        <family val="0"/>
        <charset val="1"/>
      </rPr>
      <t xml:space="preserve">3</t>
    </r>
    <r>
      <rPr>
        <b val="true"/>
        <sz val="10"/>
        <color rgb="FF595959"/>
        <rFont val="Noto Sans CJK SC"/>
        <family val="2"/>
      </rPr>
      <t xml:space="preserve">케이스</t>
    </r>
  </si>
  <si>
    <r>
      <rPr>
        <sz val="10"/>
        <color rgb="FF000000"/>
        <rFont val="Malgun Gothic"/>
        <family val="0"/>
        <charset val="1"/>
      </rPr>
      <t xml:space="preserve">ACC=</t>
    </r>
    <r>
      <rPr>
        <sz val="10"/>
        <color rgb="FF000000"/>
        <rFont val="Noto Sans CJK SC"/>
        <family val="2"/>
      </rPr>
      <t xml:space="preserve">최대가속 </t>
    </r>
    <r>
      <rPr>
        <sz val="10"/>
        <color rgb="FF000000"/>
        <rFont val="Malgun Gothic"/>
        <family val="0"/>
        <charset val="1"/>
      </rPr>
      <t xml:space="preserve">/ CON=</t>
    </r>
    <r>
      <rPr>
        <sz val="10"/>
        <color rgb="FF000000"/>
        <rFont val="Noto Sans CJK SC"/>
        <family val="2"/>
      </rPr>
      <t xml:space="preserve">최고정속 </t>
    </r>
    <r>
      <rPr>
        <sz val="10"/>
        <color rgb="FF000000"/>
        <rFont val="Malgun Gothic"/>
        <family val="0"/>
        <charset val="1"/>
      </rPr>
      <t xml:space="preserve">/ DEC=</t>
    </r>
    <r>
      <rPr>
        <sz val="10"/>
        <color rgb="FF000000"/>
        <rFont val="Noto Sans CJK SC"/>
        <family val="2"/>
      </rPr>
      <t xml:space="preserve">비상감속</t>
    </r>
    <r>
      <rPr>
        <sz val="10"/>
        <color rgb="FF000000"/>
        <rFont val="Malgun Gothic"/>
        <family val="0"/>
        <charset val="1"/>
      </rPr>
      <t xml:space="preserve">.  </t>
    </r>
    <r>
      <rPr>
        <sz val="10"/>
        <color rgb="FF000000"/>
        <rFont val="Noto Sans CJK SC"/>
        <family val="2"/>
      </rPr>
      <t xml:space="preserve">케이스마다 트롤리 가속도가 달라 진자가 기울고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 결과 </t>
    </r>
    <r>
      <rPr>
        <sz val="10"/>
        <color rgb="FF000000"/>
        <rFont val="Malgun Gothic"/>
        <family val="0"/>
        <charset val="1"/>
      </rPr>
      <t xml:space="preserve">X·Y·Z </t>
    </r>
    <r>
      <rPr>
        <sz val="10"/>
        <color rgb="FF000000"/>
        <rFont val="Noto Sans CJK SC"/>
        <family val="2"/>
      </rPr>
      <t xml:space="preserve">분담이 달라진다</t>
    </r>
    <r>
      <rPr>
        <sz val="10"/>
        <color rgb="FF000000"/>
        <rFont val="Malgun Gothic"/>
        <family val="0"/>
        <charset val="1"/>
      </rPr>
      <t xml:space="preserve">.</t>
    </r>
  </si>
  <si>
    <r>
      <rPr>
        <b val="true"/>
        <sz val="12"/>
        <color rgb="FF1F3864"/>
        <rFont val="Malgun Gothic"/>
        <family val="0"/>
        <charset val="1"/>
      </rPr>
      <t xml:space="preserve">■ X·Y·Z </t>
    </r>
    <r>
      <rPr>
        <b val="true"/>
        <sz val="12"/>
        <color rgb="FF1F3864"/>
        <rFont val="Noto Sans CJK SC"/>
        <family val="2"/>
      </rPr>
      <t xml:space="preserve">힘은 어떻게 갈라지나 </t>
    </r>
    <r>
      <rPr>
        <b val="true"/>
        <sz val="12"/>
        <color rgb="FF1F3864"/>
        <rFont val="Malgun Gothic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핵심</t>
    </r>
    <r>
      <rPr>
        <b val="true"/>
        <sz val="12"/>
        <color rgb="FF1F3864"/>
        <rFont val="Malgun Gothic"/>
        <family val="0"/>
        <charset val="1"/>
      </rPr>
      <t xml:space="preserve">)</t>
    </r>
  </si>
  <si>
    <t xml:space="preserve">한 줄 요약</t>
  </si>
  <si>
    <r>
      <rPr>
        <sz val="10"/>
        <color rgb="FF000000"/>
        <rFont val="Noto Sans CJK SC"/>
        <family val="2"/>
      </rPr>
      <t xml:space="preserve">줄이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기울어지는 것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이 </t>
    </r>
    <r>
      <rPr>
        <sz val="10"/>
        <color rgb="FF000000"/>
        <rFont val="Malgun Gothic"/>
        <family val="0"/>
        <charset val="1"/>
      </rPr>
      <t xml:space="preserve">X·Y</t>
    </r>
    <r>
      <rPr>
        <sz val="10"/>
        <color rgb="FF000000"/>
        <rFont val="Noto Sans CJK SC"/>
        <family val="2"/>
      </rPr>
      <t xml:space="preserve">의 근원이다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직선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정속이면 줄이 연직 → 힘은 </t>
    </r>
    <r>
      <rPr>
        <sz val="10"/>
        <color rgb="FF000000"/>
        <rFont val="Malgun Gothic"/>
        <family val="0"/>
        <charset val="1"/>
      </rPr>
      <t xml:space="preserve">Z</t>
    </r>
    <r>
      <rPr>
        <sz val="10"/>
        <color rgb="FF000000"/>
        <rFont val="Noto Sans CJK SC"/>
        <family val="2"/>
      </rPr>
      <t xml:space="preserve">뿐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트롤리가 수평으로 가속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접선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제동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원심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하면 → 느껴지는 중력 </t>
    </r>
    <r>
      <rPr>
        <sz val="10"/>
        <color rgb="FF000000"/>
        <rFont val="Malgun Gothic"/>
        <family val="0"/>
        <charset val="1"/>
      </rPr>
      <t xml:space="preserve">g_eff</t>
    </r>
    <r>
      <rPr>
        <sz val="10"/>
        <color rgb="FF000000"/>
        <rFont val="Noto Sans CJK SC"/>
        <family val="2"/>
      </rPr>
      <t xml:space="preserve">가 기울고 → 줄이 기울고 → 장력 </t>
    </r>
    <r>
      <rPr>
        <sz val="10"/>
        <color rgb="FF000000"/>
        <rFont val="Malgun Gothic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Malgun Gothic"/>
        <family val="0"/>
        <charset val="1"/>
      </rPr>
      <t xml:space="preserve">X·Y</t>
    </r>
    <r>
      <rPr>
        <sz val="10"/>
        <color rgb="FF000000"/>
        <rFont val="Noto Sans CJK SC"/>
        <family val="2"/>
      </rPr>
      <t xml:space="preserve">로 투영된다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동시에 트롤리 자체 관성반작용 −</t>
    </r>
    <r>
      <rPr>
        <sz val="10"/>
        <color rgb="FF000000"/>
        <rFont val="Malgun Gothic"/>
        <family val="0"/>
        <charset val="1"/>
      </rPr>
      <t xml:space="preserve">m_t·a</t>
    </r>
    <r>
      <rPr>
        <sz val="10"/>
        <color rgb="FF000000"/>
        <rFont val="Noto Sans CJK SC"/>
        <family val="2"/>
      </rPr>
      <t xml:space="preserve">도 </t>
    </r>
    <r>
      <rPr>
        <sz val="10"/>
        <color rgb="FF000000"/>
        <rFont val="Malgun Gothic"/>
        <family val="0"/>
        <charset val="1"/>
      </rPr>
      <t xml:space="preserve">X·Y</t>
    </r>
    <r>
      <rPr>
        <sz val="10"/>
        <color rgb="FF000000"/>
        <rFont val="Noto Sans CJK SC"/>
        <family val="2"/>
      </rPr>
      <t xml:space="preserve">에 직접 더해진다</t>
    </r>
    <r>
      <rPr>
        <sz val="10"/>
        <color rgb="FF000000"/>
        <rFont val="Malgun Gothic"/>
        <family val="0"/>
        <charset val="1"/>
      </rPr>
      <t xml:space="preserve">.</t>
    </r>
  </si>
  <si>
    <t xml:space="preserve">최종식</t>
  </si>
  <si>
    <t xml:space="preserve">F = −m_t·a_trolley  −  m_t·g·ẑ  +  T·n</t>
  </si>
  <si>
    <r>
      <rPr>
        <b val="true"/>
        <sz val="10"/>
        <color rgb="FFC00000"/>
        <rFont val="Noto Sans CJK SC"/>
        <family val="2"/>
      </rPr>
      <t xml:space="preserve">  항</t>
    </r>
    <r>
      <rPr>
        <b val="true"/>
        <sz val="10"/>
        <color rgb="FFC00000"/>
        <rFont val="Malgun Gothic"/>
        <family val="0"/>
        <charset val="1"/>
      </rPr>
      <t xml:space="preserve">1  −m_t·a_trolley</t>
    </r>
  </si>
  <si>
    <r>
      <rPr>
        <sz val="10"/>
        <color rgb="FF000000"/>
        <rFont val="Noto Sans CJK SC"/>
        <family val="2"/>
      </rPr>
      <t xml:space="preserve">트롤리 가속 반작용 → 주로 수평</t>
    </r>
    <r>
      <rPr>
        <sz val="10"/>
        <color rgb="FF000000"/>
        <rFont val="Malgun Gothic"/>
        <family val="0"/>
        <charset val="1"/>
      </rPr>
      <t xml:space="preserve">(X·Y)</t>
    </r>
  </si>
  <si>
    <r>
      <rPr>
        <b val="true"/>
        <sz val="10"/>
        <color rgb="FFC00000"/>
        <rFont val="Noto Sans CJK SC"/>
        <family val="2"/>
      </rPr>
      <t xml:space="preserve">  항</t>
    </r>
    <r>
      <rPr>
        <b val="true"/>
        <sz val="10"/>
        <color rgb="FFC00000"/>
        <rFont val="Malgun Gothic"/>
        <family val="0"/>
        <charset val="1"/>
      </rPr>
      <t xml:space="preserve">2  −m_t·g·ẑ</t>
    </r>
  </si>
  <si>
    <r>
      <rPr>
        <sz val="10"/>
        <color rgb="FF000000"/>
        <rFont val="Noto Sans CJK SC"/>
        <family val="2"/>
      </rPr>
      <t xml:space="preserve">트롤리 자중 → </t>
    </r>
    <r>
      <rPr>
        <sz val="10"/>
        <color rgb="FF000000"/>
        <rFont val="Malgun Gothic"/>
        <family val="0"/>
        <charset val="1"/>
      </rPr>
      <t xml:space="preserve">Z</t>
    </r>
  </si>
  <si>
    <r>
      <rPr>
        <b val="true"/>
        <sz val="10"/>
        <color rgb="FFC00000"/>
        <rFont val="Noto Sans CJK SC"/>
        <family val="2"/>
      </rPr>
      <t xml:space="preserve">  항</t>
    </r>
    <r>
      <rPr>
        <b val="true"/>
        <sz val="10"/>
        <color rgb="FFC00000"/>
        <rFont val="Malgun Gothic"/>
        <family val="0"/>
        <charset val="1"/>
      </rPr>
      <t xml:space="preserve">3  T·n</t>
    </r>
  </si>
  <si>
    <r>
      <rPr>
        <sz val="10"/>
        <color rgb="FF000000"/>
        <rFont val="Noto Sans CJK SC"/>
        <family val="2"/>
      </rPr>
      <t xml:space="preserve">줄 장력을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기운 줄방향 </t>
    </r>
    <r>
      <rPr>
        <sz val="10"/>
        <color rgb="FF000000"/>
        <rFont val="Malgun Gothic"/>
        <family val="0"/>
        <charset val="1"/>
      </rPr>
      <t xml:space="preserve">n'</t>
    </r>
    <r>
      <rPr>
        <sz val="10"/>
        <color rgb="FF000000"/>
        <rFont val="Noto Sans CJK SC"/>
        <family val="2"/>
      </rPr>
      <t xml:space="preserve">으로 → </t>
    </r>
    <r>
      <rPr>
        <sz val="10"/>
        <color rgb="FF000000"/>
        <rFont val="Malgun Gothic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이 기울어 </t>
    </r>
    <r>
      <rPr>
        <sz val="10"/>
        <color rgb="FF000000"/>
        <rFont val="Malgun Gothic"/>
        <family val="0"/>
        <charset val="1"/>
      </rPr>
      <t xml:space="preserve">X·Y·Z </t>
    </r>
    <r>
      <rPr>
        <sz val="10"/>
        <color rgb="FF000000"/>
        <rFont val="Noto Sans CJK SC"/>
        <family val="2"/>
      </rPr>
      <t xml:space="preserve">전부에 분배</t>
    </r>
  </si>
  <si>
    <t xml:space="preserve">■ 시트 안내</t>
  </si>
  <si>
    <r>
      <rPr>
        <b val="true"/>
        <sz val="10"/>
        <color rgb="FF595959"/>
        <rFont val="Malgun Gothic"/>
        <family val="0"/>
        <charset val="1"/>
      </rPr>
      <t xml:space="preserve">1_</t>
    </r>
    <r>
      <rPr>
        <b val="true"/>
        <sz val="10"/>
        <color rgb="FF595959"/>
        <rFont val="Noto Sans CJK SC"/>
        <family val="2"/>
      </rPr>
      <t xml:space="preserve">입력값</t>
    </r>
  </si>
  <si>
    <r>
      <rPr>
        <sz val="10"/>
        <color rgb="FF000000"/>
        <rFont val="Noto Sans CJK SC"/>
        <family val="2"/>
      </rPr>
      <t xml:space="preserve">제원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중력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노드 기하 입력값과 파생값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주기 등</t>
    </r>
    <r>
      <rPr>
        <sz val="10"/>
        <color rgb="FF000000"/>
        <rFont val="Malgun Gothic"/>
        <family val="0"/>
        <charset val="1"/>
      </rPr>
      <t xml:space="preserve">).</t>
    </r>
  </si>
  <si>
    <r>
      <rPr>
        <b val="true"/>
        <sz val="10"/>
        <color rgb="FF595959"/>
        <rFont val="Malgun Gothic"/>
        <family val="0"/>
        <charset val="1"/>
      </rPr>
      <t xml:space="preserve">2_</t>
    </r>
    <r>
      <rPr>
        <b val="true"/>
        <sz val="10"/>
        <color rgb="FF595959"/>
        <rFont val="Noto Sans CJK SC"/>
        <family val="2"/>
      </rPr>
      <t xml:space="preserve">핵심공식</t>
    </r>
  </si>
  <si>
    <r>
      <rPr>
        <sz val="10"/>
        <color rgb="FF000000"/>
        <rFont val="Noto Sans CJK SC"/>
        <family val="2"/>
      </rPr>
      <t xml:space="preserve">구면진자 </t>
    </r>
    <r>
      <rPr>
        <sz val="10"/>
        <color rgb="FF000000"/>
        <rFont val="Malgun Gothic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대 공식</t>
    </r>
    <r>
      <rPr>
        <sz val="10"/>
        <color rgb="FF000000"/>
        <rFont val="Malgun Gothic"/>
        <family val="0"/>
        <charset val="1"/>
      </rPr>
      <t xml:space="preserve">(g_eff·</t>
    </r>
    <r>
      <rPr>
        <sz val="10"/>
        <color rgb="FF000000"/>
        <rFont val="Noto Sans CJK SC"/>
        <family val="2"/>
      </rPr>
      <t xml:space="preserve">운동방정식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장력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노드힘</t>
    </r>
    <r>
      <rPr>
        <sz val="10"/>
        <color rgb="FF000000"/>
        <rFont val="Malgun Gothic"/>
        <family val="0"/>
        <charset val="1"/>
      </rPr>
      <t xml:space="preserve">·DAF).</t>
    </r>
  </si>
  <si>
    <r>
      <rPr>
        <b val="true"/>
        <sz val="10"/>
        <color rgb="FF595959"/>
        <rFont val="Malgun Gothic"/>
        <family val="0"/>
        <charset val="1"/>
      </rPr>
      <t xml:space="preserve">★3_3</t>
    </r>
    <r>
      <rPr>
        <b val="true"/>
        <sz val="10"/>
        <color rgb="FF595959"/>
        <rFont val="Noto Sans CJK SC"/>
        <family val="2"/>
      </rPr>
      <t xml:space="preserve">케이스흐름</t>
    </r>
  </si>
  <si>
    <r>
      <rPr>
        <sz val="10"/>
        <color rgb="FF000000"/>
        <rFont val="Noto Sans CJK SC"/>
        <family val="2"/>
      </rPr>
      <t xml:space="preserve">노드 </t>
    </r>
    <r>
      <rPr>
        <sz val="10"/>
        <color rgb="FF000000"/>
        <rFont val="Malgun Gothic"/>
        <family val="0"/>
        <charset val="1"/>
      </rPr>
      <t xml:space="preserve">#1004(</t>
    </r>
    <r>
      <rPr>
        <sz val="10"/>
        <color rgb="FF000000"/>
        <rFont val="Noto Sans CJK SC"/>
        <family val="2"/>
      </rPr>
      <t xml:space="preserve">경사</t>
    </r>
    <r>
      <rPr>
        <sz val="10"/>
        <color rgb="FF000000"/>
        <rFont val="Malgun Gothic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곡선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하나로 </t>
    </r>
    <r>
      <rPr>
        <sz val="10"/>
        <color rgb="FF000000"/>
        <rFont val="Malgun Gothic"/>
        <family val="0"/>
        <charset val="1"/>
      </rPr>
      <t xml:space="preserve">ACC/CON/DEC </t>
    </r>
    <r>
      <rPr>
        <sz val="10"/>
        <color rgb="FF000000"/>
        <rFont val="Noto Sans CJK SC"/>
        <family val="2"/>
      </rPr>
      <t xml:space="preserve">단계별 공식 흐름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정상상태는 라이브 수식</t>
    </r>
    <r>
      <rPr>
        <sz val="10"/>
        <color rgb="FF000000"/>
        <rFont val="Malgun Gothic"/>
        <family val="0"/>
        <charset val="1"/>
      </rPr>
      <t xml:space="preserve">.</t>
    </r>
  </si>
  <si>
    <r>
      <rPr>
        <b val="true"/>
        <sz val="10"/>
        <color rgb="FF595959"/>
        <rFont val="Malgun Gothic"/>
        <family val="0"/>
        <charset val="1"/>
      </rPr>
      <t xml:space="preserve">4_</t>
    </r>
    <r>
      <rPr>
        <b val="true"/>
        <sz val="10"/>
        <color rgb="FF595959"/>
        <rFont val="Noto Sans CJK SC"/>
        <family val="2"/>
      </rPr>
      <t xml:space="preserve">지배케이스</t>
    </r>
  </si>
  <si>
    <r>
      <rPr>
        <sz val="10"/>
        <color rgb="FF000000"/>
        <rFont val="Noto Sans CJK SC"/>
        <family val="2"/>
      </rPr>
      <t xml:space="preserve">케이스별 최종 </t>
    </r>
    <r>
      <rPr>
        <sz val="10"/>
        <color rgb="FF000000"/>
        <rFont val="Malgun Gothic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비교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포락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지배케이스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왜 다른가 해설</t>
    </r>
    <r>
      <rPr>
        <sz val="10"/>
        <color rgb="FF000000"/>
        <rFont val="Malgun Gothic"/>
        <family val="0"/>
        <charset val="1"/>
      </rPr>
      <t xml:space="preserve">.</t>
    </r>
  </si>
  <si>
    <t xml:space="preserve">■ 검증</t>
  </si>
  <si>
    <r>
      <rPr>
        <b val="true"/>
        <sz val="15"/>
        <color rgb="FF1F3864"/>
        <rFont val="Malgun Gothic"/>
        <family val="0"/>
        <charset val="1"/>
      </rPr>
      <t xml:space="preserve">1. </t>
    </r>
    <r>
      <rPr>
        <b val="true"/>
        <sz val="15"/>
        <color rgb="FF1F3864"/>
        <rFont val="Noto Sans CJK SC"/>
        <family val="2"/>
      </rPr>
      <t xml:space="preserve">입력값 및 파생값</t>
    </r>
  </si>
  <si>
    <t xml:space="preserve">항목</t>
  </si>
  <si>
    <t xml:space="preserve">기호</t>
  </si>
  <si>
    <t xml:space="preserve">값</t>
  </si>
  <si>
    <t xml:space="preserve">단위</t>
  </si>
  <si>
    <t xml:space="preserve">비고</t>
  </si>
  <si>
    <r>
      <rPr>
        <b val="true"/>
        <sz val="10"/>
        <color rgb="FF000000"/>
        <rFont val="Noto Sans CJK SC"/>
        <family val="2"/>
      </rPr>
      <t xml:space="preserve">사람</t>
    </r>
    <r>
      <rPr>
        <b val="true"/>
        <sz val="10"/>
        <color rgb="FF000000"/>
        <rFont val="Malgun Gothic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운전자</t>
    </r>
    <r>
      <rPr>
        <b val="true"/>
        <sz val="10"/>
        <color rgb="FF000000"/>
        <rFont val="Malgun Gothic"/>
        <family val="0"/>
        <charset val="1"/>
      </rPr>
      <t xml:space="preserve">) </t>
    </r>
    <r>
      <rPr>
        <b val="true"/>
        <sz val="10"/>
        <color rgb="FF000000"/>
        <rFont val="Noto Sans CJK SC"/>
        <family val="2"/>
      </rPr>
      <t xml:space="preserve">무게</t>
    </r>
  </si>
  <si>
    <t xml:space="preserve">m_p</t>
  </si>
  <si>
    <t xml:space="preserve">kg</t>
  </si>
  <si>
    <r>
      <rPr>
        <sz val="9"/>
        <color rgb="FF595959"/>
        <rFont val="Noto Sans CJK SC"/>
        <family val="2"/>
      </rPr>
      <t xml:space="preserve">파란값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입력</t>
    </r>
  </si>
  <si>
    <r>
      <rPr>
        <b val="true"/>
        <sz val="10"/>
        <color rgb="FF000000"/>
        <rFont val="Noto Sans CJK SC"/>
        <family val="2"/>
      </rPr>
      <t xml:space="preserve">트롤리</t>
    </r>
    <r>
      <rPr>
        <b val="true"/>
        <sz val="10"/>
        <color rgb="FF000000"/>
        <rFont val="Malgun Gothic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동력체</t>
    </r>
    <r>
      <rPr>
        <b val="true"/>
        <sz val="10"/>
        <color rgb="FF000000"/>
        <rFont val="Malgun Gothic"/>
        <family val="0"/>
        <charset val="1"/>
      </rPr>
      <t xml:space="preserve">) </t>
    </r>
    <r>
      <rPr>
        <b val="true"/>
        <sz val="10"/>
        <color rgb="FF000000"/>
        <rFont val="Noto Sans CJK SC"/>
        <family val="2"/>
      </rPr>
      <t xml:space="preserve">무게</t>
    </r>
  </si>
  <si>
    <t xml:space="preserve">m_t</t>
  </si>
  <si>
    <t xml:space="preserve">줄 길이</t>
  </si>
  <si>
    <t xml:space="preserve">L</t>
  </si>
  <si>
    <t xml:space="preserve">m</t>
  </si>
  <si>
    <t xml:space="preserve">진자 길이</t>
  </si>
  <si>
    <t xml:space="preserve">중력가속도</t>
  </si>
  <si>
    <t xml:space="preserve">g</t>
  </si>
  <si>
    <t xml:space="preserve">m/s²</t>
  </si>
  <si>
    <t xml:space="preserve">GRAVITY</t>
  </si>
  <si>
    <t xml:space="preserve">진자 감쇠비</t>
  </si>
  <si>
    <t xml:space="preserve">ζ</t>
  </si>
  <si>
    <t xml:space="preserve">-</t>
  </si>
  <si>
    <r>
      <rPr>
        <sz val="9"/>
        <color rgb="FF595959"/>
        <rFont val="Malgun Gothic"/>
        <family val="0"/>
        <charset val="1"/>
      </rPr>
      <t xml:space="preserve">GUI </t>
    </r>
    <r>
      <rPr>
        <sz val="9"/>
        <color rgb="FF595959"/>
        <rFont val="Noto Sans CJK SC"/>
        <family val="2"/>
      </rPr>
      <t xml:space="preserve">고급설정</t>
    </r>
    <r>
      <rPr>
        <sz val="9"/>
        <color rgb="FF595959"/>
        <rFont val="Malgun Gothic"/>
        <family val="0"/>
        <charset val="1"/>
      </rPr>
      <t xml:space="preserve">(0.02 </t>
    </r>
    <r>
      <rPr>
        <sz val="9"/>
        <color rgb="FF595959"/>
        <rFont val="Noto Sans CJK SC"/>
        <family val="2"/>
      </rPr>
      <t xml:space="preserve">덮어씀</t>
    </r>
    <r>
      <rPr>
        <sz val="9"/>
        <color rgb="FF595959"/>
        <rFont val="Malgun Gothic"/>
        <family val="0"/>
        <charset val="1"/>
      </rPr>
      <t xml:space="preserve">)</t>
    </r>
  </si>
  <si>
    <t xml:space="preserve">최고속도</t>
  </si>
  <si>
    <t xml:space="preserve">v_max</t>
  </si>
  <si>
    <t xml:space="preserve">m/s</t>
  </si>
  <si>
    <r>
      <rPr>
        <sz val="9"/>
        <color rgb="FF595959"/>
        <rFont val="Noto Sans CJK SC"/>
        <family val="2"/>
      </rPr>
      <t xml:space="preserve">원심력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정속에 사용</t>
    </r>
  </si>
  <si>
    <t xml:space="preserve">가속 상한</t>
  </si>
  <si>
    <t xml:space="preserve">a_acc</t>
  </si>
  <si>
    <r>
      <rPr>
        <sz val="9"/>
        <color rgb="FF595959"/>
        <rFont val="Noto Sans CJK SC"/>
        <family val="2"/>
      </rPr>
      <t xml:space="preserve">마력산정 </t>
    </r>
    <r>
      <rPr>
        <sz val="9"/>
        <color rgb="FF595959"/>
        <rFont val="Malgun Gothic"/>
        <family val="0"/>
        <charset val="1"/>
      </rPr>
      <t xml:space="preserve">78.7 → </t>
    </r>
    <r>
      <rPr>
        <sz val="9"/>
        <color rgb="FF595959"/>
        <rFont val="Noto Sans CJK SC"/>
        <family val="2"/>
      </rPr>
      <t xml:space="preserve">상한 </t>
    </r>
    <r>
      <rPr>
        <sz val="9"/>
        <color rgb="FF595959"/>
        <rFont val="Malgun Gothic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클램프</t>
    </r>
  </si>
  <si>
    <t xml:space="preserve">비상감속</t>
  </si>
  <si>
    <t xml:space="preserve">a_brake</t>
  </si>
  <si>
    <r>
      <rPr>
        <sz val="9"/>
        <color rgb="FF595959"/>
        <rFont val="Malgun Gothic"/>
        <family val="0"/>
        <charset val="1"/>
      </rPr>
      <t xml:space="preserve">DEC </t>
    </r>
    <r>
      <rPr>
        <sz val="9"/>
        <color rgb="FF595959"/>
        <rFont val="Noto Sans CJK SC"/>
        <family val="2"/>
      </rPr>
      <t xml:space="preserve">접선감속</t>
    </r>
  </si>
  <si>
    <t xml:space="preserve">사람 정적자중</t>
  </si>
  <si>
    <t xml:space="preserve">W_p = m_p·g</t>
  </si>
  <si>
    <t xml:space="preserve">N</t>
  </si>
  <si>
    <r>
      <rPr>
        <sz val="9"/>
        <color rgb="FF595959"/>
        <rFont val="Malgun Gothic"/>
        <family val="0"/>
        <charset val="1"/>
      </rPr>
      <t xml:space="preserve">DAF </t>
    </r>
    <r>
      <rPr>
        <sz val="9"/>
        <color rgb="FF595959"/>
        <rFont val="Noto Sans CJK SC"/>
        <family val="2"/>
      </rPr>
      <t xml:space="preserve">기준하중</t>
    </r>
  </si>
  <si>
    <t xml:space="preserve">고유각진동수</t>
  </si>
  <si>
    <t xml:space="preserve">ωₙ = √(g/L)</t>
  </si>
  <si>
    <t xml:space="preserve">rad/s</t>
  </si>
  <si>
    <t xml:space="preserve">진자주기</t>
  </si>
  <si>
    <t xml:space="preserve">Tₙ = 2π√(L/g)</t>
  </si>
  <si>
    <t xml:space="preserve">s</t>
  </si>
  <si>
    <r>
      <rPr>
        <sz val="9"/>
        <color rgb="FF595959"/>
        <rFont val="Noto Sans CJK SC"/>
        <family val="2"/>
      </rPr>
      <t xml:space="preserve">적분구간</t>
    </r>
    <r>
      <rPr>
        <sz val="9"/>
        <color rgb="FF595959"/>
        <rFont val="Malgun Gothic"/>
        <family val="0"/>
        <charset val="1"/>
      </rPr>
      <t xml:space="preserve">=3·Tₙ</t>
    </r>
  </si>
  <si>
    <r>
      <rPr>
        <b val="true"/>
        <sz val="11"/>
        <color rgb="FFC00000"/>
        <rFont val="Noto Sans CJK SC"/>
        <family val="2"/>
      </rPr>
      <t xml:space="preserve">검증 노드 </t>
    </r>
    <r>
      <rPr>
        <b val="true"/>
        <sz val="11"/>
        <color rgb="FFC00000"/>
        <rFont val="Malgun Gothic"/>
        <family val="0"/>
        <charset val="1"/>
      </rPr>
      <t xml:space="preserve">#1004 — </t>
    </r>
    <r>
      <rPr>
        <b val="true"/>
        <sz val="11"/>
        <color rgb="FFC00000"/>
        <rFont val="Noto Sans CJK SC"/>
        <family val="2"/>
      </rPr>
      <t xml:space="preserve">경사</t>
    </r>
    <r>
      <rPr>
        <b val="true"/>
        <sz val="11"/>
        <color rgb="FFC00000"/>
        <rFont val="Malgun Gothic"/>
        <family val="0"/>
        <charset val="1"/>
      </rPr>
      <t xml:space="preserve">(15°) </t>
    </r>
    <r>
      <rPr>
        <b val="true"/>
        <sz val="11"/>
        <color rgb="FFC00000"/>
        <rFont val="Noto Sans CJK SC"/>
        <family val="2"/>
      </rPr>
      <t xml:space="preserve">헬릭스 곡선부 </t>
    </r>
    <r>
      <rPr>
        <b val="true"/>
        <sz val="11"/>
        <color rgb="FFC00000"/>
        <rFont val="Malgun Gothic"/>
        <family val="0"/>
        <charset val="1"/>
      </rPr>
      <t xml:space="preserve">(X·Y·Z </t>
    </r>
    <r>
      <rPr>
        <b val="true"/>
        <sz val="11"/>
        <color rgb="FFC00000"/>
        <rFont val="Noto Sans CJK SC"/>
        <family val="2"/>
      </rPr>
      <t xml:space="preserve">모두 발생</t>
    </r>
    <r>
      <rPr>
        <b val="true"/>
        <sz val="11"/>
        <color rgb="FFC00000"/>
        <rFont val="Malgun Gothic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</si>
  <si>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접선벡터 </t>
    </r>
    <r>
      <rPr>
        <b val="true"/>
        <sz val="10"/>
        <color rgb="FF000000"/>
        <rFont val="Malgun Gothic"/>
        <family val="0"/>
        <charset val="1"/>
      </rPr>
      <t xml:space="preserve">x</t>
    </r>
  </si>
  <si>
    <t xml:space="preserve">t̂x</t>
  </si>
  <si>
    <r>
      <rPr>
        <sz val="9"/>
        <color rgb="FF595959"/>
        <rFont val="Noto Sans CJK SC"/>
        <family val="2"/>
      </rPr>
      <t xml:space="preserve">경로 진행방향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단위벡터</t>
    </r>
    <r>
      <rPr>
        <sz val="9"/>
        <color rgb="FF595959"/>
        <rFont val="Malgun Gothic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</si>
  <si>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접선벡터 </t>
    </r>
    <r>
      <rPr>
        <b val="true"/>
        <sz val="10"/>
        <color rgb="FF000000"/>
        <rFont val="Malgun Gothic"/>
        <family val="0"/>
        <charset val="1"/>
      </rPr>
      <t xml:space="preserve">y</t>
    </r>
  </si>
  <si>
    <t xml:space="preserve">t̂y</t>
  </si>
  <si>
    <r>
      <rPr>
        <b val="true"/>
        <sz val="10"/>
        <color rgb="FF000000"/>
        <rFont val="Noto Sans CJK SC"/>
        <family val="2"/>
      </rPr>
      <t xml:space="preserve">접선벡터 </t>
    </r>
    <r>
      <rPr>
        <b val="true"/>
        <sz val="10"/>
        <color rgb="FF000000"/>
        <rFont val="Malgun Gothic"/>
        <family val="0"/>
        <charset val="1"/>
      </rPr>
      <t xml:space="preserve">z</t>
    </r>
  </si>
  <si>
    <t xml:space="preserve">t̂z</t>
  </si>
  <si>
    <r>
      <rPr>
        <sz val="9"/>
        <color rgb="FF595959"/>
        <rFont val="Noto Sans CJK SC"/>
        <family val="2"/>
      </rPr>
      <t xml:space="preserve">경사 → </t>
    </r>
    <r>
      <rPr>
        <sz val="9"/>
        <color rgb="FF595959"/>
        <rFont val="Malgun Gothic"/>
        <family val="0"/>
        <charset val="1"/>
      </rPr>
      <t xml:space="preserve">z≠0</t>
    </r>
  </si>
  <si>
    <r>
      <rPr>
        <b val="true"/>
        <sz val="10"/>
        <color rgb="FF000000"/>
        <rFont val="Noto Sans CJK SC"/>
        <family val="2"/>
      </rPr>
      <t xml:space="preserve">주법선 </t>
    </r>
    <r>
      <rPr>
        <b val="true"/>
        <sz val="10"/>
        <color rgb="FF000000"/>
        <rFont val="Malgun Gothic"/>
        <family val="0"/>
        <charset val="1"/>
      </rPr>
      <t xml:space="preserve">x</t>
    </r>
  </si>
  <si>
    <t xml:space="preserve">n̂x</t>
  </si>
  <si>
    <r>
      <rPr>
        <sz val="9"/>
        <color rgb="FF595959"/>
        <rFont val="Noto Sans CJK SC"/>
        <family val="2"/>
      </rPr>
      <t xml:space="preserve">곡률중심 방향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단위벡터</t>
    </r>
    <r>
      <rPr>
        <sz val="9"/>
        <color rgb="FF595959"/>
        <rFont val="Malgun Gothic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</si>
  <si>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주법선 </t>
    </r>
    <r>
      <rPr>
        <b val="true"/>
        <sz val="10"/>
        <color rgb="FF000000"/>
        <rFont val="Malgun Gothic"/>
        <family val="0"/>
        <charset val="1"/>
      </rPr>
      <t xml:space="preserve">y</t>
    </r>
  </si>
  <si>
    <t xml:space="preserve">n̂y</t>
  </si>
  <si>
    <r>
      <rPr>
        <b val="true"/>
        <sz val="10"/>
        <color rgb="FF000000"/>
        <rFont val="Noto Sans CJK SC"/>
        <family val="2"/>
      </rPr>
      <t xml:space="preserve">주법선 </t>
    </r>
    <r>
      <rPr>
        <b val="true"/>
        <sz val="10"/>
        <color rgb="FF000000"/>
        <rFont val="Malgun Gothic"/>
        <family val="0"/>
        <charset val="1"/>
      </rPr>
      <t xml:space="preserve">z</t>
    </r>
  </si>
  <si>
    <t xml:space="preserve">n̂z</t>
  </si>
  <si>
    <r>
      <rPr>
        <sz val="9"/>
        <color rgb="FF595959"/>
        <rFont val="Malgun Gothic"/>
        <family val="0"/>
        <charset val="1"/>
      </rPr>
      <t xml:space="preserve">≈0 (</t>
    </r>
    <r>
      <rPr>
        <sz val="9"/>
        <color rgb="FF595959"/>
        <rFont val="Noto Sans CJK SC"/>
        <family val="2"/>
      </rPr>
      <t xml:space="preserve">수평면 곡률</t>
    </r>
    <r>
      <rPr>
        <sz val="9"/>
        <color rgb="FF595959"/>
        <rFont val="Malgun Gothic"/>
        <family val="0"/>
        <charset val="1"/>
      </rPr>
      <t xml:space="preserve">)</t>
    </r>
  </si>
  <si>
    <t xml:space="preserve">곡률반경</t>
  </si>
  <si>
    <t xml:space="preserve">R</t>
  </si>
  <si>
    <t xml:space="preserve">시작점부터 거리</t>
  </si>
  <si>
    <r>
      <rPr>
        <sz val="9"/>
        <color rgb="FF595959"/>
        <rFont val="Malgun Gothic"/>
        <family val="0"/>
        <charset val="1"/>
      </rPr>
      <t xml:space="preserve">ACC </t>
    </r>
    <r>
      <rPr>
        <sz val="9"/>
        <color rgb="FF595959"/>
        <rFont val="Noto Sans CJK SC"/>
        <family val="2"/>
      </rPr>
      <t xml:space="preserve">통과속도 산정용</t>
    </r>
  </si>
  <si>
    <r>
      <rPr>
        <b val="true"/>
        <sz val="15"/>
        <color rgb="FF1F3864"/>
        <rFont val="Malgun Gothic"/>
        <family val="0"/>
        <charset val="1"/>
      </rPr>
      <t xml:space="preserve">2. </t>
    </r>
    <r>
      <rPr>
        <b val="true"/>
        <sz val="15"/>
        <color rgb="FF1F3864"/>
        <rFont val="Noto Sans CJK SC"/>
        <family val="2"/>
      </rPr>
      <t xml:space="preserve">구면진자 동역학 핵심 공식</t>
    </r>
  </si>
  <si>
    <t xml:space="preserve">단계</t>
  </si>
  <si>
    <t xml:space="preserve">수식</t>
  </si>
  <si>
    <t xml:space="preserve">의미</t>
  </si>
  <si>
    <t xml:space="preserve">①</t>
  </si>
  <si>
    <t xml:space="preserve">g_eff = −g·ẑ − a_trolley</t>
  </si>
  <si>
    <r>
      <rPr>
        <sz val="9"/>
        <color rgb="FF000000"/>
        <rFont val="Noto Sans CJK SC"/>
        <family val="2"/>
      </rPr>
      <t xml:space="preserve">유효중력</t>
    </r>
    <r>
      <rPr>
        <sz val="9"/>
        <color rgb="FF000000"/>
        <rFont val="Malgun Gothic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트롤리가 가속하면 관성력이 더해져 </t>
    </r>
    <r>
      <rPr>
        <sz val="9"/>
        <color rgb="FF000000"/>
        <rFont val="Malgun Gothic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느껴지는 중력</t>
    </r>
    <r>
      <rPr>
        <sz val="9"/>
        <color rgb="FF000000"/>
        <rFont val="Malgun Gothic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이 비스듬해진다</t>
    </r>
    <r>
      <rPr>
        <sz val="9"/>
        <color rgb="FF000000"/>
        <rFont val="Malgun Gothic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줄은 </t>
    </r>
    <r>
      <rPr>
        <sz val="9"/>
        <color rgb="FF000000"/>
        <rFont val="Malgun Gothic"/>
        <family val="0"/>
        <charset val="1"/>
      </rPr>
      <t xml:space="preserve">g_eff </t>
    </r>
    <r>
      <rPr>
        <sz val="9"/>
        <color rgb="FF000000"/>
        <rFont val="Noto Sans CJK SC"/>
        <family val="2"/>
      </rPr>
      <t xml:space="preserve">방향으로 매달린다</t>
    </r>
    <r>
      <rPr>
        <sz val="9"/>
        <color rgb="FF000000"/>
        <rFont val="Malgun Gothic"/>
        <family val="0"/>
        <charset val="1"/>
      </rPr>
      <t xml:space="preserve">.</t>
    </r>
  </si>
  <si>
    <t xml:space="preserve">②</t>
  </si>
  <si>
    <t xml:space="preserve">n̈ = (1/L)[g_eff−(g_eff·n)n] − (ṅ·ṅ)n − 2ζωₙ·ṅ</t>
  </si>
  <si>
    <r>
      <rPr>
        <sz val="9"/>
        <color rgb="FF000000"/>
        <rFont val="Noto Sans CJK SC"/>
        <family val="2"/>
      </rPr>
      <t xml:space="preserve">줄방향 </t>
    </r>
    <r>
      <rPr>
        <sz val="9"/>
        <color rgb="FF000000"/>
        <rFont val="Malgun Gothic"/>
        <family val="0"/>
        <charset val="1"/>
      </rPr>
      <t xml:space="preserve">n</t>
    </r>
    <r>
      <rPr>
        <sz val="9"/>
        <color rgb="FF000000"/>
        <rFont val="Noto Sans CJK SC"/>
        <family val="2"/>
      </rPr>
      <t xml:space="preserve">의 운동방정식</t>
    </r>
    <r>
      <rPr>
        <sz val="9"/>
        <color rgb="FF000000"/>
        <rFont val="Malgun Gothic"/>
        <family val="0"/>
        <charset val="1"/>
      </rPr>
      <t xml:space="preserve">(RK4 </t>
    </r>
    <r>
      <rPr>
        <sz val="9"/>
        <color rgb="FF000000"/>
        <rFont val="Noto Sans CJK SC"/>
        <family val="2"/>
      </rPr>
      <t xml:space="preserve">적분</t>
    </r>
    <r>
      <rPr>
        <sz val="9"/>
        <color rgb="FF000000"/>
        <rFont val="Malgun Gothic"/>
        <family val="0"/>
        <charset val="1"/>
      </rPr>
      <t xml:space="preserve">). 1</t>
    </r>
    <r>
      <rPr>
        <sz val="9"/>
        <color rgb="FF000000"/>
        <rFont val="Noto Sans CJK SC"/>
        <family val="2"/>
      </rPr>
      <t xml:space="preserve">항</t>
    </r>
    <r>
      <rPr>
        <sz val="9"/>
        <color rgb="FF000000"/>
        <rFont val="Malgun Gothic"/>
        <family val="0"/>
        <charset val="1"/>
      </rPr>
      <t xml:space="preserve">=</t>
    </r>
    <r>
      <rPr>
        <sz val="9"/>
        <color rgb="FF000000"/>
        <rFont val="Noto Sans CJK SC"/>
        <family val="2"/>
      </rPr>
      <t xml:space="preserve">복원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흔들림</t>
    </r>
    <r>
      <rPr>
        <sz val="9"/>
        <color rgb="FF000000"/>
        <rFont val="Malgun Gothic"/>
        <family val="0"/>
        <charset val="1"/>
      </rPr>
      <t xml:space="preserve">), 2</t>
    </r>
    <r>
      <rPr>
        <sz val="9"/>
        <color rgb="FF000000"/>
        <rFont val="Noto Sans CJK SC"/>
        <family val="2"/>
      </rPr>
      <t xml:space="preserve">항</t>
    </r>
    <r>
      <rPr>
        <sz val="9"/>
        <color rgb="FF000000"/>
        <rFont val="Malgun Gothic"/>
        <family val="0"/>
        <charset val="1"/>
      </rPr>
      <t xml:space="preserve">=</t>
    </r>
    <r>
      <rPr>
        <sz val="9"/>
        <color rgb="FF000000"/>
        <rFont val="Noto Sans CJK SC"/>
        <family val="2"/>
      </rPr>
      <t xml:space="preserve">줄길이 일정 구속</t>
    </r>
    <r>
      <rPr>
        <sz val="9"/>
        <color rgb="FF000000"/>
        <rFont val="Malgun Gothic"/>
        <family val="0"/>
        <charset val="1"/>
      </rPr>
      <t xml:space="preserve">, 3</t>
    </r>
    <r>
      <rPr>
        <sz val="9"/>
        <color rgb="FF000000"/>
        <rFont val="Noto Sans CJK SC"/>
        <family val="2"/>
      </rPr>
      <t xml:space="preserve">항</t>
    </r>
    <r>
      <rPr>
        <sz val="9"/>
        <color rgb="FF000000"/>
        <rFont val="Malgun Gothic"/>
        <family val="0"/>
        <charset val="1"/>
      </rPr>
      <t xml:space="preserve">=</t>
    </r>
    <r>
      <rPr>
        <sz val="9"/>
        <color rgb="FF000000"/>
        <rFont val="Noto Sans CJK SC"/>
        <family val="2"/>
      </rPr>
      <t xml:space="preserve">감쇠</t>
    </r>
    <r>
      <rPr>
        <sz val="9"/>
        <color rgb="FF000000"/>
        <rFont val="Malgun Gothic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정상상태는 흔들림이 멎어 </t>
    </r>
    <r>
      <rPr>
        <sz val="9"/>
        <color rgb="FF000000"/>
        <rFont val="Malgun Gothic"/>
        <family val="0"/>
        <charset val="1"/>
      </rPr>
      <t xml:space="preserve">n=g_eff/|g_eff|.</t>
    </r>
  </si>
  <si>
    <t xml:space="preserve">③</t>
  </si>
  <si>
    <t xml:space="preserve">T = m_p·[(g_eff·n) + L·(ṅ·ṅ)]</t>
  </si>
  <si>
    <r>
      <rPr>
        <sz val="9"/>
        <color rgb="FF000000"/>
        <rFont val="Noto Sans CJK SC"/>
        <family val="2"/>
      </rPr>
      <t xml:space="preserve">줄 장력</t>
    </r>
    <r>
      <rPr>
        <sz val="9"/>
        <color rgb="FF000000"/>
        <rFont val="Malgun Gothic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정상상태</t>
    </r>
    <r>
      <rPr>
        <sz val="9"/>
        <color rgb="FF000000"/>
        <rFont val="Malgun Gothic"/>
        <family val="0"/>
        <charset val="1"/>
      </rPr>
      <t xml:space="preserve">(ṅ=0): T = m_p·(g_eff·n) = m_p·|g_eff|.</t>
    </r>
  </si>
  <si>
    <t xml:space="preserve">④</t>
  </si>
  <si>
    <t xml:space="preserve">F = −m_t·a_trolley − m_t·g·ẑ + T·n</t>
  </si>
  <si>
    <r>
      <rPr>
        <sz val="9"/>
        <color rgb="FF000000"/>
        <rFont val="Noto Sans CJK SC"/>
        <family val="2"/>
      </rPr>
      <t xml:space="preserve">★레일 노드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부착점</t>
    </r>
    <r>
      <rPr>
        <sz val="9"/>
        <color rgb="FF000000"/>
        <rFont val="Malgun Gothic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힘 — 최종 </t>
    </r>
    <r>
      <rPr>
        <sz val="9"/>
        <color rgb="FF000000"/>
        <rFont val="Malgun Gothic"/>
        <family val="0"/>
        <charset val="1"/>
      </rPr>
      <t xml:space="preserve">X·Y·Z★. 1</t>
    </r>
    <r>
      <rPr>
        <sz val="9"/>
        <color rgb="FF000000"/>
        <rFont val="Noto Sans CJK SC"/>
        <family val="2"/>
      </rPr>
      <t xml:space="preserve">항</t>
    </r>
    <r>
      <rPr>
        <sz val="9"/>
        <color rgb="FF000000"/>
        <rFont val="Malgun Gothic"/>
        <family val="0"/>
        <charset val="1"/>
      </rPr>
      <t xml:space="preserve">=</t>
    </r>
    <r>
      <rPr>
        <sz val="9"/>
        <color rgb="FF000000"/>
        <rFont val="Noto Sans CJK SC"/>
        <family val="2"/>
      </rPr>
      <t xml:space="preserve">트롤리 가속 반작용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주로 수평</t>
    </r>
    <r>
      <rPr>
        <sz val="9"/>
        <color rgb="FF000000"/>
        <rFont val="Malgun Gothic"/>
        <family val="0"/>
        <charset val="1"/>
      </rPr>
      <t xml:space="preserve">), 2</t>
    </r>
    <r>
      <rPr>
        <sz val="9"/>
        <color rgb="FF000000"/>
        <rFont val="Noto Sans CJK SC"/>
        <family val="2"/>
      </rPr>
      <t xml:space="preserve">항</t>
    </r>
    <r>
      <rPr>
        <sz val="9"/>
        <color rgb="FF000000"/>
        <rFont val="Malgun Gothic"/>
        <family val="0"/>
        <charset val="1"/>
      </rPr>
      <t xml:space="preserve">=</t>
    </r>
    <r>
      <rPr>
        <sz val="9"/>
        <color rgb="FF000000"/>
        <rFont val="Noto Sans CJK SC"/>
        <family val="2"/>
      </rPr>
      <t xml:space="preserve">트롤리 자중</t>
    </r>
    <r>
      <rPr>
        <sz val="9"/>
        <color rgb="FF000000"/>
        <rFont val="Malgun Gothic"/>
        <family val="0"/>
        <charset val="1"/>
      </rPr>
      <t xml:space="preserve">(Z), 3</t>
    </r>
    <r>
      <rPr>
        <sz val="9"/>
        <color rgb="FF000000"/>
        <rFont val="Noto Sans CJK SC"/>
        <family val="2"/>
      </rPr>
      <t xml:space="preserve">항</t>
    </r>
    <r>
      <rPr>
        <sz val="9"/>
        <color rgb="FF000000"/>
        <rFont val="Malgun Gothic"/>
        <family val="0"/>
        <charset val="1"/>
      </rPr>
      <t xml:space="preserve">=</t>
    </r>
    <r>
      <rPr>
        <sz val="9"/>
        <color rgb="FF000000"/>
        <rFont val="Noto Sans CJK SC"/>
        <family val="2"/>
      </rPr>
      <t xml:space="preserve">장력을 기운 줄방향으로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전 방향</t>
    </r>
    <r>
      <rPr>
        <sz val="9"/>
        <color rgb="FF000000"/>
        <rFont val="Malgun Gothic"/>
        <family val="0"/>
        <charset val="1"/>
      </rPr>
      <t xml:space="preserve">).</t>
    </r>
  </si>
  <si>
    <t xml:space="preserve">⑤</t>
  </si>
  <si>
    <t xml:space="preserve">DAF = T_max / (m_p·g)</t>
  </si>
  <si>
    <r>
      <rPr>
        <sz val="9"/>
        <color rgb="FF000000"/>
        <rFont val="Noto Sans CJK SC"/>
        <family val="2"/>
      </rPr>
      <t xml:space="preserve">동적증폭계수</t>
    </r>
    <r>
      <rPr>
        <sz val="9"/>
        <color rgb="FF000000"/>
        <rFont val="Malgun Gothic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과도 흔들림으로 정적자중 대비 장력이 얼마나 커지나</t>
    </r>
    <r>
      <rPr>
        <sz val="9"/>
        <color rgb="FF000000"/>
        <rFont val="Malgun Gothic"/>
        <family val="0"/>
        <charset val="1"/>
      </rPr>
      <t xml:space="preserve">. ACC·DEC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Malgun Gothic"/>
        <family val="0"/>
        <charset val="1"/>
      </rPr>
      <t xml:space="preserve">&gt;1, CON</t>
    </r>
    <r>
      <rPr>
        <sz val="9"/>
        <color rgb="FF000000"/>
        <rFont val="Noto Sans CJK SC"/>
        <family val="2"/>
      </rPr>
      <t xml:space="preserve">은 ≈</t>
    </r>
    <r>
      <rPr>
        <sz val="9"/>
        <color rgb="FF000000"/>
        <rFont val="Malgun Gothic"/>
        <family val="0"/>
        <charset val="1"/>
      </rPr>
      <t xml:space="preserve">1.</t>
    </r>
  </si>
  <si>
    <r>
      <rPr>
        <b val="true"/>
        <sz val="14"/>
        <color rgb="FF1F3864"/>
        <rFont val="Malgun Gothic"/>
        <family val="0"/>
        <charset val="1"/>
      </rPr>
      <t xml:space="preserve">3. </t>
    </r>
    <r>
      <rPr>
        <b val="true"/>
        <sz val="14"/>
        <color rgb="FF1F3864"/>
        <rFont val="Noto Sans CJK SC"/>
        <family val="2"/>
      </rPr>
      <t xml:space="preserve">세 주행케이스 공식 흐름 — 노드 </t>
    </r>
    <r>
      <rPr>
        <b val="true"/>
        <sz val="14"/>
        <color rgb="FF1F3864"/>
        <rFont val="Malgun Gothic"/>
        <family val="0"/>
        <charset val="1"/>
      </rPr>
      <t xml:space="preserve">#1004 (</t>
    </r>
    <r>
      <rPr>
        <b val="true"/>
        <sz val="14"/>
        <color rgb="FF1F3864"/>
        <rFont val="Noto Sans CJK SC"/>
        <family val="2"/>
      </rPr>
      <t xml:space="preserve">경사</t>
    </r>
    <r>
      <rPr>
        <b val="true"/>
        <sz val="14"/>
        <color rgb="FF1F3864"/>
        <rFont val="Malgun Gothic"/>
        <family val="0"/>
        <charset val="1"/>
      </rPr>
      <t xml:space="preserve">+</t>
    </r>
    <r>
      <rPr>
        <b val="true"/>
        <sz val="14"/>
        <color rgb="FF1F3864"/>
        <rFont val="Noto Sans CJK SC"/>
        <family val="2"/>
      </rPr>
      <t xml:space="preserve">곡선</t>
    </r>
    <r>
      <rPr>
        <b val="true"/>
        <sz val="14"/>
        <color rgb="FF1F3864"/>
        <rFont val="Malgun Gothic"/>
        <family val="0"/>
        <charset val="1"/>
      </rPr>
      <t xml:space="preserve">, X·Y·Z </t>
    </r>
    <r>
      <rPr>
        <b val="true"/>
        <sz val="14"/>
        <color rgb="FF1F3864"/>
        <rFont val="Noto Sans CJK SC"/>
        <family val="2"/>
      </rPr>
      <t xml:space="preserve">모두 발생</t>
    </r>
    <r>
      <rPr>
        <b val="true"/>
        <sz val="14"/>
        <color rgb="FF1F3864"/>
        <rFont val="Malgun Gothic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</si>
  <si>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정상상태 체인 </t>
    </r>
    <r>
      <rPr>
        <i val="true"/>
        <sz val="9"/>
        <color rgb="FF595959"/>
        <rFont val="Malgun Gothic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라이브 수식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시트</t>
    </r>
    <r>
      <rPr>
        <i val="true"/>
        <sz val="9"/>
        <color rgb="FF595959"/>
        <rFont val="Malgun Gothic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참조</t>
    </r>
    <r>
      <rPr>
        <i val="true"/>
        <sz val="9"/>
        <color rgb="FF595959"/>
        <rFont val="Malgun Gothic"/>
        <family val="0"/>
        <charset val="1"/>
      </rPr>
      <t xml:space="preserve">) · RK4 </t>
    </r>
    <r>
      <rPr>
        <i val="true"/>
        <sz val="9"/>
        <color rgb="FF595959"/>
        <rFont val="Noto Sans CJK SC"/>
        <family val="2"/>
      </rPr>
      <t xml:space="preserve">과도최대값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노랑</t>
    </r>
    <r>
      <rPr>
        <i val="true"/>
        <sz val="9"/>
        <color rgb="FF595959"/>
        <rFont val="Malgun Gothic"/>
        <family val="0"/>
        <charset val="1"/>
      </rPr>
      <t xml:space="preserve">) = dynamics.py </t>
    </r>
    <r>
      <rPr>
        <i val="true"/>
        <sz val="9"/>
        <color rgb="FF595959"/>
        <rFont val="Noto Sans CJK SC"/>
        <family val="2"/>
      </rPr>
      <t xml:space="preserve">코드 출력</t>
    </r>
  </si>
  <si>
    <r>
      <rPr>
        <b val="true"/>
        <sz val="10"/>
        <color rgb="FFFFFFFF"/>
        <rFont val="Noto Sans CJK SC"/>
        <family val="2"/>
      </rPr>
      <t xml:space="preserve">공통 입력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시트</t>
    </r>
    <r>
      <rPr>
        <b val="true"/>
        <sz val="10"/>
        <color rgb="FFFFFFFF"/>
        <rFont val="Malgun Gothic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에서 링크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</si>
  <si>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m_p [kg]</t>
  </si>
  <si>
    <t xml:space="preserve">m_t [kg]</t>
  </si>
  <si>
    <t xml:space="preserve">g [m/s²]</t>
  </si>
  <si>
    <t xml:space="preserve">v_max [m/s]</t>
  </si>
  <si>
    <t xml:space="preserve">a_acc [m/s²]</t>
  </si>
  <si>
    <t xml:space="preserve">a_brake [m/s²]</t>
  </si>
  <si>
    <t xml:space="preserve">R [m]</t>
  </si>
  <si>
    <t xml:space="preserve">s [m]</t>
  </si>
  <si>
    <r>
      <rPr>
        <b val="true"/>
        <sz val="10"/>
        <color rgb="FFFFFFFF"/>
        <rFont val="Noto Sans CJK SC"/>
        <family val="2"/>
      </rPr>
      <t xml:space="preserve">항목 </t>
    </r>
    <r>
      <rPr>
        <b val="true"/>
        <sz val="10"/>
        <color rgb="FFFFFFFF"/>
        <rFont val="Malgun Gothic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성분</t>
    </r>
  </si>
  <si>
    <r>
      <rPr>
        <b val="true"/>
        <sz val="10"/>
        <color rgb="FF000000"/>
        <rFont val="Malgun Gothic"/>
        <family val="0"/>
        <charset val="1"/>
      </rPr>
      <t xml:space="preserve">ACC </t>
    </r>
    <r>
      <rPr>
        <b val="true"/>
        <sz val="10"/>
        <color rgb="FF000000"/>
        <rFont val="Noto Sans CJK SC"/>
        <family val="2"/>
      </rPr>
      <t xml:space="preserve">최대가속</t>
    </r>
  </si>
  <si>
    <r>
      <rPr>
        <b val="true"/>
        <sz val="10"/>
        <color rgb="FF000000"/>
        <rFont val="Malgun Gothic"/>
        <family val="0"/>
        <charset val="1"/>
      </rPr>
      <t xml:space="preserve">CON </t>
    </r>
    <r>
      <rPr>
        <b val="true"/>
        <sz val="10"/>
        <color rgb="FF000000"/>
        <rFont val="Noto Sans CJK SC"/>
        <family val="2"/>
      </rPr>
      <t xml:space="preserve">최고정속</t>
    </r>
  </si>
  <si>
    <r>
      <rPr>
        <b val="true"/>
        <sz val="10"/>
        <color rgb="FF000000"/>
        <rFont val="Malgun Gothic"/>
        <family val="0"/>
        <charset val="1"/>
      </rPr>
      <t xml:space="preserve">DEC </t>
    </r>
    <r>
      <rPr>
        <b val="true"/>
        <sz val="10"/>
        <color rgb="FF000000"/>
        <rFont val="Noto Sans CJK SC"/>
        <family val="2"/>
      </rPr>
      <t xml:space="preserve">비상감속</t>
    </r>
  </si>
  <si>
    <t xml:space="preserve">설명</t>
  </si>
  <si>
    <r>
      <rPr>
        <b val="true"/>
        <sz val="9"/>
        <color rgb="FF000000"/>
        <rFont val="Malgun Gothic"/>
        <family val="0"/>
        <charset val="1"/>
      </rPr>
      <t xml:space="preserve">v </t>
    </r>
    <r>
      <rPr>
        <b val="true"/>
        <sz val="9"/>
        <color rgb="FF000000"/>
        <rFont val="Noto Sans CJK SC"/>
        <family val="2"/>
      </rPr>
      <t xml:space="preserve">통과속도 </t>
    </r>
    <r>
      <rPr>
        <b val="true"/>
        <sz val="9"/>
        <color rgb="FF000000"/>
        <rFont val="Malgun Gothic"/>
        <family val="0"/>
        <charset val="1"/>
      </rPr>
      <t xml:space="preserve">[m/s]</t>
    </r>
  </si>
  <si>
    <t xml:space="preserve">ACC=min(√(2·a·s),v_max), CON·DEC=v_max</t>
  </si>
  <si>
    <r>
      <rPr>
        <sz val="9"/>
        <color rgb="FF000000"/>
        <rFont val="Malgun Gothic"/>
        <family val="0"/>
        <charset val="1"/>
      </rPr>
      <t xml:space="preserve">a_tan </t>
    </r>
    <r>
      <rPr>
        <sz val="9"/>
        <color rgb="FF000000"/>
        <rFont val="Noto Sans CJK SC"/>
        <family val="2"/>
      </rPr>
      <t xml:space="preserve">접선가속 </t>
    </r>
    <r>
      <rPr>
        <sz val="9"/>
        <color rgb="FF000000"/>
        <rFont val="Malgun Gothic"/>
        <family val="0"/>
        <charset val="1"/>
      </rPr>
      <t xml:space="preserve">[m/s²]</t>
    </r>
  </si>
  <si>
    <r>
      <rPr>
        <sz val="8"/>
        <color rgb="FF595959"/>
        <rFont val="Malgun Gothic"/>
        <family val="0"/>
        <charset val="1"/>
      </rPr>
      <t xml:space="preserve">ACC=+a_acc(</t>
    </r>
    <r>
      <rPr>
        <sz val="8"/>
        <color rgb="FF595959"/>
        <rFont val="Noto Sans CJK SC"/>
        <family val="2"/>
      </rPr>
      <t xml:space="preserve">가속구간</t>
    </r>
    <r>
      <rPr>
        <sz val="8"/>
        <color rgb="FF595959"/>
        <rFont val="Malgun Gothic"/>
        <family val="0"/>
        <charset val="1"/>
      </rPr>
      <t xml:space="preserve">), CON=0, DEC=−a_brake</t>
    </r>
  </si>
  <si>
    <t xml:space="preserve">a_c = v²/R·n̂   (x)</t>
  </si>
  <si>
    <r>
      <rPr>
        <sz val="8"/>
        <color rgb="FF595959"/>
        <rFont val="Noto Sans CJK SC"/>
        <family val="2"/>
      </rPr>
      <t xml:space="preserve">원심가속도</t>
    </r>
    <r>
      <rPr>
        <sz val="8"/>
        <color rgb="FF595959"/>
        <rFont val="Malgun Gothic"/>
        <family val="0"/>
        <charset val="1"/>
      </rPr>
      <t xml:space="preserve">. v</t>
    </r>
    <r>
      <rPr>
        <sz val="8"/>
        <color rgb="FF595959"/>
        <rFont val="Noto Sans CJK SC"/>
        <family val="2"/>
      </rPr>
      <t xml:space="preserve">는 </t>
    </r>
    <r>
      <rPr>
        <sz val="8"/>
        <color rgb="FF595959"/>
        <rFont val="Malgun Gothic"/>
        <family val="0"/>
        <charset val="1"/>
      </rPr>
      <t xml:space="preserve">ACC</t>
    </r>
    <r>
      <rPr>
        <sz val="8"/>
        <color rgb="FF595959"/>
        <rFont val="Noto Sans CJK SC"/>
        <family val="2"/>
      </rPr>
      <t xml:space="preserve">만 다름</t>
    </r>
  </si>
  <si>
    <t xml:space="preserve">(y)</t>
  </si>
  <si>
    <t xml:space="preserve">(z)</t>
  </si>
  <si>
    <t xml:space="preserve">a_tr = a_tan·t̂ + a_c   (x)</t>
  </si>
  <si>
    <r>
      <rPr>
        <sz val="8"/>
        <color rgb="FF595959"/>
        <rFont val="Noto Sans CJK SC"/>
        <family val="2"/>
      </rPr>
      <t xml:space="preserve">트롤리 가속도</t>
    </r>
    <r>
      <rPr>
        <sz val="8"/>
        <color rgb="FF595959"/>
        <rFont val="Malgun Gothic"/>
        <family val="0"/>
        <charset val="1"/>
      </rPr>
      <t xml:space="preserve">. DEC</t>
    </r>
    <r>
      <rPr>
        <sz val="8"/>
        <color rgb="FF595959"/>
        <rFont val="Noto Sans CJK SC"/>
        <family val="2"/>
      </rPr>
      <t xml:space="preserve">만 접선항 큼</t>
    </r>
  </si>
  <si>
    <t xml:space="preserve">g_eff = −g·ẑ − a_tr   (x)</t>
  </si>
  <si>
    <t xml:space="preserve">느껴지는 중력 → 기울어짐</t>
  </si>
  <si>
    <t xml:space="preserve">|g_eff| [m/s²]</t>
  </si>
  <si>
    <t xml:space="preserve">크기</t>
  </si>
  <si>
    <t xml:space="preserve">n = g_eff/|g_eff|   (x)</t>
  </si>
  <si>
    <t xml:space="preserve">줄 단위방향</t>
  </si>
  <si>
    <r>
      <rPr>
        <sz val="9"/>
        <color rgb="FF000000"/>
        <rFont val="Noto Sans CJK SC"/>
        <family val="2"/>
      </rPr>
      <t xml:space="preserve">연직기울기 </t>
    </r>
    <r>
      <rPr>
        <sz val="9"/>
        <color rgb="FF000000"/>
        <rFont val="Malgun Gothic"/>
        <family val="0"/>
        <charset val="1"/>
      </rPr>
      <t xml:space="preserve">θ [°]</t>
    </r>
  </si>
  <si>
    <t xml:space="preserve">줄이 연직에서 기운 각</t>
  </si>
  <si>
    <t xml:space="preserve">T_ss = m_p·|g_eff| [N]</t>
  </si>
  <si>
    <r>
      <rPr>
        <sz val="8"/>
        <color rgb="FF595959"/>
        <rFont val="Noto Sans CJK SC"/>
        <family val="2"/>
      </rPr>
      <t xml:space="preserve">정상상태 장력</t>
    </r>
    <r>
      <rPr>
        <sz val="8"/>
        <color rgb="FF595959"/>
        <rFont val="Malgun Gothic"/>
        <family val="0"/>
        <charset val="1"/>
      </rPr>
      <t xml:space="preserve">(</t>
    </r>
    <r>
      <rPr>
        <sz val="8"/>
        <color rgb="FF595959"/>
        <rFont val="Noto Sans CJK SC"/>
        <family val="2"/>
      </rPr>
      <t xml:space="preserve">닫힌식</t>
    </r>
    <r>
      <rPr>
        <sz val="8"/>
        <color rgb="FF595959"/>
        <rFont val="Malgun Gothic"/>
        <family val="0"/>
        <charset val="1"/>
      </rPr>
      <t xml:space="preserve">)</t>
    </r>
  </si>
  <si>
    <t xml:space="preserve">⑥</t>
  </si>
  <si>
    <r>
      <rPr>
        <b val="true"/>
        <sz val="9"/>
        <color rgb="FF000000"/>
        <rFont val="Noto Sans CJK SC"/>
        <family val="2"/>
      </rPr>
      <t xml:space="preserve">항</t>
    </r>
    <r>
      <rPr>
        <b val="true"/>
        <sz val="9"/>
        <color rgb="FF000000"/>
        <rFont val="Malgun Gothic"/>
        <family val="0"/>
        <charset val="1"/>
      </rPr>
      <t xml:space="preserve">1 −m_t·a_tr   (x)</t>
    </r>
  </si>
  <si>
    <r>
      <rPr>
        <sz val="8"/>
        <color rgb="FF595959"/>
        <rFont val="Noto Sans CJK SC"/>
        <family val="2"/>
      </rPr>
      <t xml:space="preserve">트롤리 관성반작용</t>
    </r>
    <r>
      <rPr>
        <sz val="8"/>
        <color rgb="FF595959"/>
        <rFont val="Malgun Gothic"/>
        <family val="0"/>
        <charset val="1"/>
      </rPr>
      <t xml:space="preserve">(</t>
    </r>
    <r>
      <rPr>
        <sz val="8"/>
        <color rgb="FF595959"/>
        <rFont val="Noto Sans CJK SC"/>
        <family val="2"/>
      </rPr>
      <t xml:space="preserve">수평</t>
    </r>
    <r>
      <rPr>
        <sz val="8"/>
        <color rgb="FF595959"/>
        <rFont val="Malgun Gothic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</si>
  <si>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항</t>
    </r>
    <r>
      <rPr>
        <sz val="9"/>
        <color rgb="FF000000"/>
        <rFont val="Malgun Gothic"/>
        <family val="0"/>
        <charset val="1"/>
      </rPr>
      <t xml:space="preserve">2 −m_t·g·ẑ   (x,y)</t>
    </r>
  </si>
  <si>
    <r>
      <rPr>
        <sz val="8"/>
        <color rgb="FF595959"/>
        <rFont val="Noto Sans CJK SC"/>
        <family val="2"/>
      </rPr>
      <t xml:space="preserve">트롤리 자중</t>
    </r>
    <r>
      <rPr>
        <sz val="8"/>
        <color rgb="FF595959"/>
        <rFont val="Malgun Gothic"/>
        <family val="0"/>
        <charset val="1"/>
      </rPr>
      <t xml:space="preserve">(Z</t>
    </r>
    <r>
      <rPr>
        <sz val="8"/>
        <color rgb="FF595959"/>
        <rFont val="Noto Sans CJK SC"/>
        <family val="2"/>
      </rPr>
      <t xml:space="preserve">만</t>
    </r>
    <r>
      <rPr>
        <sz val="8"/>
        <color rgb="FF595959"/>
        <rFont val="Malgun Gothic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</si>
  <si>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항</t>
    </r>
    <r>
      <rPr>
        <sz val="9"/>
        <color rgb="FF000000"/>
        <rFont val="Malgun Gothic"/>
        <family val="0"/>
        <charset val="1"/>
      </rPr>
      <t xml:space="preserve">3 T_ss·n   (x)</t>
    </r>
  </si>
  <si>
    <t xml:space="preserve">장력을 기운 줄방향으로</t>
  </si>
  <si>
    <t xml:space="preserve">⑦</t>
  </si>
  <si>
    <r>
      <rPr>
        <b val="true"/>
        <sz val="9"/>
        <color rgb="FF000000"/>
        <rFont val="Malgun Gothic"/>
        <family val="0"/>
        <charset val="1"/>
      </rPr>
      <t xml:space="preserve">F_</t>
    </r>
    <r>
      <rPr>
        <b val="true"/>
        <sz val="9"/>
        <color rgb="FF000000"/>
        <rFont val="Noto Sans CJK SC"/>
        <family val="2"/>
      </rPr>
      <t xml:space="preserve">정상 </t>
    </r>
    <r>
      <rPr>
        <b val="true"/>
        <sz val="9"/>
        <color rgb="FF000000"/>
        <rFont val="Malgun Gothic"/>
        <family val="0"/>
        <charset val="1"/>
      </rPr>
      <t xml:space="preserve">Fx [N]</t>
    </r>
  </si>
  <si>
    <r>
      <rPr>
        <sz val="8"/>
        <color rgb="FF595959"/>
        <rFont val="Noto Sans CJK SC"/>
        <family val="2"/>
      </rPr>
      <t xml:space="preserve">항</t>
    </r>
    <r>
      <rPr>
        <sz val="8"/>
        <color rgb="FF595959"/>
        <rFont val="Malgun Gothic"/>
        <family val="0"/>
        <charset val="1"/>
      </rPr>
      <t xml:space="preserve">1x+</t>
    </r>
    <r>
      <rPr>
        <sz val="8"/>
        <color rgb="FF595959"/>
        <rFont val="Noto Sans CJK SC"/>
        <family val="2"/>
      </rPr>
      <t xml:space="preserve">항</t>
    </r>
    <r>
      <rPr>
        <sz val="8"/>
        <color rgb="FF595959"/>
        <rFont val="Malgun Gothic"/>
        <family val="0"/>
        <charset val="1"/>
      </rPr>
      <t xml:space="preserve">3x</t>
    </r>
  </si>
  <si>
    <t xml:space="preserve">Fy [N]</t>
  </si>
  <si>
    <r>
      <rPr>
        <sz val="8"/>
        <color rgb="FF595959"/>
        <rFont val="Noto Sans CJK SC"/>
        <family val="2"/>
      </rPr>
      <t xml:space="preserve">항</t>
    </r>
    <r>
      <rPr>
        <sz val="8"/>
        <color rgb="FF595959"/>
        <rFont val="Malgun Gothic"/>
        <family val="0"/>
        <charset val="1"/>
      </rPr>
      <t xml:space="preserve">1y+</t>
    </r>
    <r>
      <rPr>
        <sz val="8"/>
        <color rgb="FF595959"/>
        <rFont val="Noto Sans CJK SC"/>
        <family val="2"/>
      </rPr>
      <t xml:space="preserve">항</t>
    </r>
    <r>
      <rPr>
        <sz val="8"/>
        <color rgb="FF595959"/>
        <rFont val="Malgun Gothic"/>
        <family val="0"/>
        <charset val="1"/>
      </rPr>
      <t xml:space="preserve">2y(0)+</t>
    </r>
    <r>
      <rPr>
        <sz val="8"/>
        <color rgb="FF595959"/>
        <rFont val="Noto Sans CJK SC"/>
        <family val="2"/>
      </rPr>
      <t xml:space="preserve">항</t>
    </r>
    <r>
      <rPr>
        <sz val="8"/>
        <color rgb="FF595959"/>
        <rFont val="Malgun Gothic"/>
        <family val="0"/>
        <charset val="1"/>
      </rPr>
      <t xml:space="preserve">3y</t>
    </r>
  </si>
  <si>
    <t xml:space="preserve">Fz [N]</t>
  </si>
  <si>
    <r>
      <rPr>
        <sz val="8"/>
        <color rgb="FF595959"/>
        <rFont val="Noto Sans CJK SC"/>
        <family val="2"/>
      </rPr>
      <t xml:space="preserve">항</t>
    </r>
    <r>
      <rPr>
        <sz val="8"/>
        <color rgb="FF595959"/>
        <rFont val="Malgun Gothic"/>
        <family val="0"/>
        <charset val="1"/>
      </rPr>
      <t xml:space="preserve">1z+</t>
    </r>
    <r>
      <rPr>
        <sz val="8"/>
        <color rgb="FF595959"/>
        <rFont val="Noto Sans CJK SC"/>
        <family val="2"/>
      </rPr>
      <t xml:space="preserve">항</t>
    </r>
    <r>
      <rPr>
        <sz val="8"/>
        <color rgb="FF595959"/>
        <rFont val="Malgun Gothic"/>
        <family val="0"/>
        <charset val="1"/>
      </rPr>
      <t xml:space="preserve">2z+</t>
    </r>
    <r>
      <rPr>
        <sz val="8"/>
        <color rgb="FF595959"/>
        <rFont val="Noto Sans CJK SC"/>
        <family val="2"/>
      </rPr>
      <t xml:space="preserve">항</t>
    </r>
    <r>
      <rPr>
        <sz val="8"/>
        <color rgb="FF595959"/>
        <rFont val="Malgun Gothic"/>
        <family val="0"/>
        <charset val="1"/>
      </rPr>
      <t xml:space="preserve">3z (≈</t>
    </r>
    <r>
      <rPr>
        <sz val="8"/>
        <color rgb="FF595959"/>
        <rFont val="Noto Sans CJK SC"/>
        <family val="2"/>
      </rPr>
      <t xml:space="preserve">자중</t>
    </r>
    <r>
      <rPr>
        <sz val="8"/>
        <color rgb="FF595959"/>
        <rFont val="Malgun Gothic"/>
        <family val="0"/>
        <charset val="1"/>
      </rPr>
      <t xml:space="preserve">)</t>
    </r>
  </si>
  <si>
    <r>
      <rPr>
        <sz val="9"/>
        <color rgb="FF000000"/>
        <rFont val="Malgun Gothic"/>
        <family val="0"/>
        <charset val="1"/>
      </rPr>
      <t xml:space="preserve">|F_</t>
    </r>
    <r>
      <rPr>
        <sz val="9"/>
        <color rgb="FF000000"/>
        <rFont val="Noto Sans CJK SC"/>
        <family val="2"/>
      </rPr>
      <t xml:space="preserve">정상</t>
    </r>
    <r>
      <rPr>
        <sz val="9"/>
        <color rgb="FF000000"/>
        <rFont val="Malgun Gothic"/>
        <family val="0"/>
        <charset val="1"/>
      </rPr>
      <t xml:space="preserve">| [N]</t>
    </r>
  </si>
  <si>
    <t xml:space="preserve">정상상태 합력</t>
  </si>
  <si>
    <t xml:space="preserve">⑧</t>
  </si>
  <si>
    <t xml:space="preserve">T_max (RK4) [N]</t>
  </si>
  <si>
    <t xml:space="preserve">코드 과도최대 — 수식 재현불가</t>
  </si>
  <si>
    <t xml:space="preserve">DAF = T_max/(m_p·g)</t>
  </si>
  <si>
    <t xml:space="preserve">동적증폭</t>
  </si>
  <si>
    <r>
      <rPr>
        <sz val="9"/>
        <color rgb="FF000000"/>
        <rFont val="Malgun Gothic"/>
        <family val="0"/>
        <charset val="1"/>
      </rPr>
      <t xml:space="preserve">F_</t>
    </r>
    <r>
      <rPr>
        <sz val="9"/>
        <color rgb="FF000000"/>
        <rFont val="Noto Sans CJK SC"/>
        <family val="2"/>
      </rPr>
      <t xml:space="preserve">코드 </t>
    </r>
    <r>
      <rPr>
        <sz val="9"/>
        <color rgb="FF000000"/>
        <rFont val="Malgun Gothic"/>
        <family val="0"/>
        <charset val="1"/>
      </rPr>
      <t xml:space="preserve">Fx [N]</t>
    </r>
  </si>
  <si>
    <r>
      <rPr>
        <sz val="8"/>
        <color rgb="FF595959"/>
        <rFont val="Noto Sans CJK SC"/>
        <family val="2"/>
      </rPr>
      <t xml:space="preserve">리포트</t>
    </r>
    <r>
      <rPr>
        <sz val="8"/>
        <color rgb="FF595959"/>
        <rFont val="Malgun Gothic"/>
        <family val="0"/>
        <charset val="1"/>
      </rPr>
      <t xml:space="preserve">·MGT </t>
    </r>
    <r>
      <rPr>
        <sz val="8"/>
        <color rgb="FF595959"/>
        <rFont val="Noto Sans CJK SC"/>
        <family val="2"/>
      </rPr>
      <t xml:space="preserve">출력값</t>
    </r>
  </si>
  <si>
    <r>
      <rPr>
        <b val="true"/>
        <sz val="9"/>
        <color rgb="FF000000"/>
        <rFont val="Malgun Gothic"/>
        <family val="0"/>
        <charset val="1"/>
      </rPr>
      <t xml:space="preserve">|F_</t>
    </r>
    <r>
      <rPr>
        <b val="true"/>
        <sz val="9"/>
        <color rgb="FF000000"/>
        <rFont val="Noto Sans CJK SC"/>
        <family val="2"/>
      </rPr>
      <t xml:space="preserve">코드</t>
    </r>
    <r>
      <rPr>
        <b val="true"/>
        <sz val="9"/>
        <color rgb="FF000000"/>
        <rFont val="Malgun Gothic"/>
        <family val="0"/>
        <charset val="1"/>
      </rPr>
      <t xml:space="preserve">| [N]</t>
    </r>
  </si>
  <si>
    <t xml:space="preserve">최종 합력</t>
  </si>
  <si>
    <t xml:space="preserve">⑨</t>
  </si>
  <si>
    <r>
      <rPr>
        <b val="true"/>
        <sz val="9"/>
        <color rgb="FF000000"/>
        <rFont val="Noto Sans CJK SC"/>
        <family val="2"/>
      </rPr>
      <t xml:space="preserve">지배 케이스 </t>
    </r>
    <r>
      <rPr>
        <b val="true"/>
        <sz val="9"/>
        <color rgb="FF000000"/>
        <rFont val="Malgun Gothic"/>
        <family val="0"/>
        <charset val="1"/>
      </rPr>
      <t xml:space="preserve">(|F_</t>
    </r>
    <r>
      <rPr>
        <b val="true"/>
        <sz val="9"/>
        <color rgb="FF000000"/>
        <rFont val="Noto Sans CJK SC"/>
        <family val="2"/>
      </rPr>
      <t xml:space="preserve">코드</t>
    </r>
    <r>
      <rPr>
        <b val="true"/>
        <sz val="9"/>
        <color rgb="FF000000"/>
        <rFont val="Malgun Gothic"/>
        <family val="0"/>
        <charset val="1"/>
      </rPr>
      <t xml:space="preserve">| </t>
    </r>
    <r>
      <rPr>
        <b val="true"/>
        <sz val="9"/>
        <color rgb="FF000000"/>
        <rFont val="Noto Sans CJK SC"/>
        <family val="2"/>
      </rPr>
      <t xml:space="preserve">최대</t>
    </r>
    <r>
      <rPr>
        <b val="true"/>
        <sz val="9"/>
        <color rgb="FF000000"/>
        <rFont val="Malgun Gothic"/>
        <family val="0"/>
        <charset val="1"/>
      </rPr>
      <t xml:space="preserve">)</t>
    </r>
  </si>
  <si>
    <t xml:space="preserve">이 노드 기준</t>
  </si>
  <si>
    <r>
      <rPr>
        <b val="true"/>
        <sz val="15"/>
        <color rgb="FF1F3864"/>
        <rFont val="Malgun Gothic"/>
        <family val="0"/>
        <charset val="1"/>
      </rPr>
      <t xml:space="preserve">4. </t>
    </r>
    <r>
      <rPr>
        <b val="true"/>
        <sz val="15"/>
        <color rgb="FF1F3864"/>
        <rFont val="Noto Sans CJK SC"/>
        <family val="2"/>
      </rPr>
      <t xml:space="preserve">케이스별 최종하중 비교 </t>
    </r>
    <r>
      <rPr>
        <b val="true"/>
        <sz val="15"/>
        <color rgb="FF1F3864"/>
        <rFont val="Malgun Gothic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</rPr>
      <t xml:space="preserve">지배케이스</t>
    </r>
  </si>
  <si>
    <r>
      <rPr>
        <i val="true"/>
        <sz val="9"/>
        <color rgb="FF595959"/>
        <rFont val="Noto Sans CJK SC"/>
        <family val="2"/>
      </rPr>
      <t xml:space="preserve">노드 </t>
    </r>
    <r>
      <rPr>
        <i val="true"/>
        <sz val="9"/>
        <color rgb="FF595959"/>
        <rFont val="Malgun Gothic"/>
        <family val="0"/>
        <charset val="1"/>
      </rPr>
      <t xml:space="preserve">#1004 </t>
    </r>
    <r>
      <rPr>
        <i val="true"/>
        <sz val="9"/>
        <color rgb="FF595959"/>
        <rFont val="Noto Sans CJK SC"/>
        <family val="2"/>
      </rPr>
      <t xml:space="preserve">기준</t>
    </r>
    <r>
      <rPr>
        <i val="true"/>
        <sz val="9"/>
        <color rgb="FF595959"/>
        <rFont val="Malgun Gothic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값은 ★</t>
    </r>
    <r>
      <rPr>
        <i val="true"/>
        <sz val="9"/>
        <color rgb="FF595959"/>
        <rFont val="Malgun Gothic"/>
        <family val="0"/>
        <charset val="1"/>
      </rPr>
      <t xml:space="preserve">3_3</t>
    </r>
    <r>
      <rPr>
        <i val="true"/>
        <sz val="9"/>
        <color rgb="FF595959"/>
        <rFont val="Noto Sans CJK SC"/>
        <family val="2"/>
      </rPr>
      <t xml:space="preserve">케이스흐름 시트의 </t>
    </r>
    <r>
      <rPr>
        <i val="true"/>
        <sz val="9"/>
        <color rgb="FF595959"/>
        <rFont val="Malgun Gothic"/>
        <family val="0"/>
        <charset val="1"/>
      </rPr>
      <t xml:space="preserve">F_</t>
    </r>
    <r>
      <rPr>
        <i val="true"/>
        <sz val="9"/>
        <color rgb="FF595959"/>
        <rFont val="Noto Sans CJK SC"/>
        <family val="2"/>
      </rPr>
      <t xml:space="preserve">코드</t>
    </r>
    <r>
      <rPr>
        <i val="true"/>
        <sz val="9"/>
        <color rgb="FF595959"/>
        <rFont val="Malgun Gothic"/>
        <family val="0"/>
        <charset val="1"/>
      </rPr>
      <t xml:space="preserve">(RK4 </t>
    </r>
    <r>
      <rPr>
        <i val="true"/>
        <sz val="9"/>
        <color rgb="FF595959"/>
        <rFont val="Noto Sans CJK SC"/>
        <family val="2"/>
      </rPr>
      <t xml:space="preserve">과도최대</t>
    </r>
    <r>
      <rPr>
        <i val="true"/>
        <sz val="9"/>
        <color rgb="FF595959"/>
        <rFont val="Malgun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를 링크</t>
    </r>
    <r>
      <rPr>
        <i val="true"/>
        <sz val="9"/>
        <color rgb="FF595959"/>
        <rFont val="Malgun Gothic"/>
        <family val="0"/>
        <charset val="1"/>
      </rPr>
      <t xml:space="preserve">.</t>
    </r>
  </si>
  <si>
    <t xml:space="preserve">성분</t>
  </si>
  <si>
    <t xml:space="preserve">Fx</t>
  </si>
  <si>
    <t xml:space="preserve">Fy</t>
  </si>
  <si>
    <t xml:space="preserve">Fz</t>
  </si>
  <si>
    <r>
      <rPr>
        <b val="true"/>
        <sz val="10"/>
        <color rgb="FF000000"/>
        <rFont val="Malgun Gothic"/>
        <family val="0"/>
        <charset val="1"/>
      </rPr>
      <t xml:space="preserve">|F| </t>
    </r>
    <r>
      <rPr>
        <b val="true"/>
        <sz val="10"/>
        <color rgb="FF000000"/>
        <rFont val="Noto Sans CJK SC"/>
        <family val="2"/>
      </rPr>
      <t xml:space="preserve">합력</t>
    </r>
  </si>
  <si>
    <t xml:space="preserve">DAF</t>
  </si>
  <si>
    <r>
      <rPr>
        <b val="true"/>
        <sz val="10"/>
        <color rgb="FF000000"/>
        <rFont val="Malgun Gothic"/>
        <family val="0"/>
        <charset val="1"/>
      </rPr>
      <t xml:space="preserve">Envelope </t>
    </r>
    <r>
      <rPr>
        <b val="true"/>
        <sz val="10"/>
        <color rgb="FF000000"/>
        <rFont val="Noto Sans CJK SC"/>
        <family val="2"/>
      </rPr>
      <t xml:space="preserve">최대 </t>
    </r>
    <r>
      <rPr>
        <b val="true"/>
        <sz val="10"/>
        <color rgb="FF000000"/>
        <rFont val="Malgun Gothic"/>
        <family val="0"/>
        <charset val="1"/>
      </rPr>
      <t xml:space="preserve">|F|</t>
    </r>
  </si>
  <si>
    <t xml:space="preserve">지배 케이스</t>
  </si>
  <si>
    <r>
      <rPr>
        <b val="true"/>
        <sz val="11"/>
        <color rgb="FF1F3864"/>
        <rFont val="Malgun Gothic"/>
        <family val="0"/>
        <charset val="1"/>
      </rPr>
      <t xml:space="preserve">[ </t>
    </r>
    <r>
      <rPr>
        <b val="true"/>
        <sz val="11"/>
        <color rgb="FF1F3864"/>
        <rFont val="Noto Sans CJK SC"/>
        <family val="2"/>
      </rPr>
      <t xml:space="preserve">왜 세 케이스가 다른가 </t>
    </r>
    <r>
      <rPr>
        <b val="true"/>
        <sz val="11"/>
        <color rgb="FF1F3864"/>
        <rFont val="Malgun Gothic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</si>
  <si>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• 원심가속 </t>
    </r>
    <r>
      <rPr>
        <sz val="9"/>
        <color rgb="FF000000"/>
        <rFont val="Malgun Gothic"/>
        <family val="0"/>
        <charset val="1"/>
      </rPr>
      <t xml:space="preserve">a_c 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Malgun Gothic"/>
        <family val="0"/>
        <charset val="1"/>
      </rPr>
      <t xml:space="preserve">v·R </t>
    </r>
    <r>
      <rPr>
        <sz val="9"/>
        <color rgb="FF000000"/>
        <rFont val="Noto Sans CJK SC"/>
        <family val="2"/>
      </rPr>
      <t xml:space="preserve">로 결정 — </t>
    </r>
    <r>
      <rPr>
        <sz val="9"/>
        <color rgb="FF000000"/>
        <rFont val="Malgun Gothic"/>
        <family val="0"/>
        <charset val="1"/>
      </rPr>
      <t xml:space="preserve">ACC</t>
    </r>
    <r>
      <rPr>
        <sz val="9"/>
        <color rgb="FF000000"/>
        <rFont val="Noto Sans CJK SC"/>
        <family val="2"/>
      </rPr>
      <t xml:space="preserve">만 통과속도 </t>
    </r>
    <r>
      <rPr>
        <sz val="9"/>
        <color rgb="FF000000"/>
        <rFont val="Malgun Gothic"/>
        <family val="0"/>
        <charset val="1"/>
      </rPr>
      <t xml:space="preserve">v</t>
    </r>
    <r>
      <rPr>
        <sz val="9"/>
        <color rgb="FF000000"/>
        <rFont val="Noto Sans CJK SC"/>
        <family val="2"/>
      </rPr>
      <t xml:space="preserve">가 낮아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가속 중</t>
    </r>
    <r>
      <rPr>
        <sz val="9"/>
        <color rgb="FF000000"/>
        <rFont val="Malgun Gothic"/>
        <family val="0"/>
        <charset val="1"/>
      </rPr>
      <t xml:space="preserve">) a_c</t>
    </r>
    <r>
      <rPr>
        <sz val="9"/>
        <color rgb="FF000000"/>
        <rFont val="Noto Sans CJK SC"/>
        <family val="2"/>
      </rPr>
      <t xml:space="preserve">가 작다</t>
    </r>
    <r>
      <rPr>
        <sz val="9"/>
        <color rgb="FF000000"/>
        <rFont val="Malgun Gothic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</si>
  <si>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• 접선가속 </t>
    </r>
    <r>
      <rPr>
        <sz val="9"/>
        <color rgb="FF000000"/>
        <rFont val="Malgun Gothic"/>
        <family val="0"/>
        <charset val="1"/>
      </rPr>
      <t xml:space="preserve">a_tan </t>
    </r>
    <r>
      <rPr>
        <sz val="9"/>
        <color rgb="FF000000"/>
        <rFont val="Noto Sans CJK SC"/>
        <family val="2"/>
      </rPr>
      <t xml:space="preserve">이 트롤리 가속도의 방향</t>
    </r>
    <r>
      <rPr>
        <sz val="9"/>
        <color rgb="FF000000"/>
        <rFont val="Malgun Gothic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크기를 가른다</t>
    </r>
    <r>
      <rPr>
        <sz val="9"/>
        <color rgb="FF000000"/>
        <rFont val="Malgun Gothic"/>
        <family val="0"/>
        <charset val="1"/>
      </rPr>
      <t xml:space="preserve">: ACC=+2(</t>
    </r>
    <r>
      <rPr>
        <sz val="9"/>
        <color rgb="FF000000"/>
        <rFont val="Noto Sans CJK SC"/>
        <family val="2"/>
      </rPr>
      <t xml:space="preserve">전진가속</t>
    </r>
    <r>
      <rPr>
        <sz val="9"/>
        <color rgb="FF000000"/>
        <rFont val="Malgun Gothic"/>
        <family val="0"/>
        <charset val="1"/>
      </rPr>
      <t xml:space="preserve">), CON=0, DEC=−4(</t>
    </r>
    <r>
      <rPr>
        <sz val="9"/>
        <color rgb="FF000000"/>
        <rFont val="Noto Sans CJK SC"/>
        <family val="2"/>
      </rPr>
      <t xml:space="preserve">제동</t>
    </r>
    <r>
      <rPr>
        <sz val="9"/>
        <color rgb="FF000000"/>
        <rFont val="Malgun Gothic"/>
        <family val="0"/>
        <charset val="1"/>
      </rPr>
      <t xml:space="preserve">).</t>
    </r>
  </si>
  <si>
    <r>
      <rPr>
        <sz val="9"/>
        <color rgb="FF000000"/>
        <rFont val="Noto Sans CJK SC"/>
        <family val="2"/>
      </rPr>
      <t xml:space="preserve">• 경사로</t>
    </r>
    <r>
      <rPr>
        <sz val="9"/>
        <color rgb="FF000000"/>
        <rFont val="Malgun Gothic"/>
        <family val="0"/>
        <charset val="1"/>
      </rPr>
      <t xml:space="preserve">(t̂z&gt;0)</t>
    </r>
    <r>
      <rPr>
        <sz val="9"/>
        <color rgb="FF000000"/>
        <rFont val="Noto Sans CJK SC"/>
        <family val="2"/>
      </rPr>
      <t xml:space="preserve">에서는 </t>
    </r>
    <r>
      <rPr>
        <sz val="9"/>
        <color rgb="FF000000"/>
        <rFont val="Malgun Gothic"/>
        <family val="0"/>
        <charset val="1"/>
      </rPr>
      <t xml:space="preserve">a_tan </t>
    </r>
    <r>
      <rPr>
        <sz val="9"/>
        <color rgb="FF000000"/>
        <rFont val="Noto Sans CJK SC"/>
        <family val="2"/>
      </rPr>
      <t xml:space="preserve">이 </t>
    </r>
    <r>
      <rPr>
        <sz val="9"/>
        <color rgb="FF000000"/>
        <rFont val="Malgun Gothic"/>
        <family val="0"/>
        <charset val="1"/>
      </rPr>
      <t xml:space="preserve">a_tr </t>
    </r>
    <r>
      <rPr>
        <sz val="9"/>
        <color rgb="FF000000"/>
        <rFont val="Noto Sans CJK SC"/>
        <family val="2"/>
      </rPr>
      <t xml:space="preserve">의 </t>
    </r>
    <r>
      <rPr>
        <sz val="9"/>
        <color rgb="FF000000"/>
        <rFont val="Malgun Gothic"/>
        <family val="0"/>
        <charset val="1"/>
      </rPr>
      <t xml:space="preserve">Z</t>
    </r>
    <r>
      <rPr>
        <sz val="9"/>
        <color rgb="FF000000"/>
        <rFont val="Noto Sans CJK SC"/>
        <family val="2"/>
      </rPr>
      <t xml:space="preserve">성분도 바꾼다 → </t>
    </r>
    <r>
      <rPr>
        <sz val="9"/>
        <color rgb="FF000000"/>
        <rFont val="Malgun Gothic"/>
        <family val="0"/>
        <charset val="1"/>
      </rPr>
      <t xml:space="preserve">ACC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Malgun Gothic"/>
        <family val="0"/>
        <charset val="1"/>
      </rPr>
      <t xml:space="preserve">g_eff</t>
    </r>
    <r>
      <rPr>
        <sz val="9"/>
        <color rgb="FF000000"/>
        <rFont val="Noto Sans CJK SC"/>
        <family val="2"/>
      </rPr>
      <t xml:space="preserve">를 더 아래로 당겨 장력</t>
    </r>
    <r>
      <rPr>
        <sz val="9"/>
        <color rgb="FF000000"/>
        <rFont val="Malgun Gothic"/>
        <family val="0"/>
        <charset val="1"/>
      </rPr>
      <t xml:space="preserve">·Fz</t>
    </r>
    <r>
      <rPr>
        <sz val="9"/>
        <color rgb="FF000000"/>
        <rFont val="Noto Sans CJK SC"/>
        <family val="2"/>
      </rPr>
      <t xml:space="preserve">를 키운다</t>
    </r>
    <r>
      <rPr>
        <sz val="9"/>
        <color rgb="FF000000"/>
        <rFont val="Malgun Gothic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</si>
  <si>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• 초기 줄방향 </t>
    </r>
    <r>
      <rPr>
        <sz val="9"/>
        <color rgb="FF000000"/>
        <rFont val="Malgun Gothic"/>
        <family val="0"/>
        <charset val="1"/>
      </rPr>
      <t xml:space="preserve">n₀(</t>
    </r>
    <r>
      <rPr>
        <sz val="9"/>
        <color rgb="FF000000"/>
        <rFont val="Noto Sans CJK SC"/>
        <family val="2"/>
      </rPr>
      <t xml:space="preserve">적분 시작점</t>
    </r>
    <r>
      <rPr>
        <sz val="9"/>
        <color rgb="FF000000"/>
        <rFont val="Malgun Gothic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이 케이스마다 달라 과도 흔들림</t>
    </r>
    <r>
      <rPr>
        <sz val="9"/>
        <color rgb="FF000000"/>
        <rFont val="Malgun Gothic"/>
        <family val="0"/>
        <charset val="1"/>
      </rPr>
      <t xml:space="preserve">(DAF)</t>
    </r>
    <r>
      <rPr>
        <sz val="9"/>
        <color rgb="FF000000"/>
        <rFont val="Noto Sans CJK SC"/>
        <family val="2"/>
      </rPr>
      <t xml:space="preserve">이 갈린다</t>
    </r>
    <r>
      <rPr>
        <sz val="9"/>
        <color rgb="FF000000"/>
        <rFont val="Malgun Gothic"/>
        <family val="0"/>
        <charset val="1"/>
      </rPr>
      <t xml:space="preserve">: ACC</t>
    </r>
    <r>
      <rPr>
        <sz val="9"/>
        <color rgb="FF000000"/>
        <rFont val="Noto Sans CJK SC"/>
        <family val="2"/>
      </rPr>
      <t xml:space="preserve">는 연직에서 출발해 크게 흔들린다</t>
    </r>
    <r>
      <rPr>
        <sz val="9"/>
        <color rgb="FF000000"/>
        <rFont val="Malgun Gothic"/>
        <family val="0"/>
        <charset val="1"/>
      </rPr>
      <t xml:space="preserve">.</t>
    </r>
  </si>
  <si>
    <r>
      <rPr>
        <b val="true"/>
        <sz val="11"/>
        <color rgb="FF1F3864"/>
        <rFont val="Malgun Gothic"/>
        <family val="0"/>
        <charset val="1"/>
      </rPr>
      <t xml:space="preserve">[ </t>
    </r>
    <r>
      <rPr>
        <b val="true"/>
        <sz val="11"/>
        <color rgb="FF1F3864"/>
        <rFont val="Noto Sans CJK SC"/>
        <family val="2"/>
      </rPr>
      <t xml:space="preserve">이 노드의 결과 </t>
    </r>
    <r>
      <rPr>
        <b val="true"/>
        <sz val="11"/>
        <color rgb="FF1F3864"/>
        <rFont val="Malgun Gothic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</si>
  <si>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• 이 노드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경사</t>
    </r>
    <r>
      <rPr>
        <sz val="9"/>
        <color rgb="FF000000"/>
        <rFont val="Malgun Gothic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곡선</t>
    </r>
    <r>
      <rPr>
        <sz val="9"/>
        <color rgb="FF000000"/>
        <rFont val="Malgun Gothic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가속구간</t>
    </r>
    <r>
      <rPr>
        <sz val="9"/>
        <color rgb="FF000000"/>
        <rFont val="Malgun Gothic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에서는 </t>
    </r>
    <r>
      <rPr>
        <sz val="9"/>
        <color rgb="FF000000"/>
        <rFont val="Malgun Gothic"/>
        <family val="0"/>
        <charset val="1"/>
      </rPr>
      <t xml:space="preserve">ACC</t>
    </r>
    <r>
      <rPr>
        <sz val="9"/>
        <color rgb="FF000000"/>
        <rFont val="Noto Sans CJK SC"/>
        <family val="2"/>
      </rPr>
      <t xml:space="preserve">가 근소하게 지배</t>
    </r>
    <r>
      <rPr>
        <sz val="9"/>
        <color rgb="FF000000"/>
        <rFont val="Malgun Gothic"/>
        <family val="0"/>
        <charset val="1"/>
      </rPr>
      <t xml:space="preserve">(|F|≈1965N vs DEC≈1960N).</t>
    </r>
  </si>
  <si>
    <r>
      <rPr>
        <sz val="9"/>
        <color rgb="FF000000"/>
        <rFont val="Noto Sans CJK SC"/>
        <family val="2"/>
      </rPr>
      <t xml:space="preserve">• 평지 직선</t>
    </r>
    <r>
      <rPr>
        <sz val="9"/>
        <color rgb="FF000000"/>
        <rFont val="Malgun Gothic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곡선부에서는 보통 </t>
    </r>
    <r>
      <rPr>
        <sz val="9"/>
        <color rgb="FF000000"/>
        <rFont val="Malgun Gothic"/>
        <family val="0"/>
        <charset val="1"/>
      </rPr>
      <t xml:space="preserve">DEC(−4)</t>
    </r>
    <r>
      <rPr>
        <sz val="9"/>
        <color rgb="FF000000"/>
        <rFont val="Noto Sans CJK SC"/>
        <family val="2"/>
      </rPr>
      <t xml:space="preserve">가 지배 — 노드 </t>
    </r>
    <r>
      <rPr>
        <sz val="9"/>
        <color rgb="FF000000"/>
        <rFont val="Malgun Gothic"/>
        <family val="0"/>
        <charset val="1"/>
      </rPr>
      <t xml:space="preserve">#8·#30 </t>
    </r>
    <r>
      <rPr>
        <sz val="9"/>
        <color rgb="FF000000"/>
        <rFont val="Noto Sans CJK SC"/>
        <family val="2"/>
      </rPr>
      <t xml:space="preserve">검산에서 확인</t>
    </r>
    <r>
      <rPr>
        <sz val="9"/>
        <color rgb="FF000000"/>
        <rFont val="Malgun Gothic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</si>
  <si>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• 즉 지배케이스는 노드 위치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경사</t>
    </r>
    <r>
      <rPr>
        <sz val="9"/>
        <color rgb="FF000000"/>
        <rFont val="Malgun Gothic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곡률</t>
    </r>
    <r>
      <rPr>
        <sz val="9"/>
        <color rgb="FF000000"/>
        <rFont val="Malgun Gothic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가속구간 여부</t>
    </r>
    <r>
      <rPr>
        <sz val="9"/>
        <color rgb="FF000000"/>
        <rFont val="Malgun Gothic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에 따라 달라지며</t>
    </r>
    <r>
      <rPr>
        <sz val="9"/>
        <color rgb="FF000000"/>
        <rFont val="Malgun Gothic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최종 설계는 전 노드 </t>
    </r>
    <r>
      <rPr>
        <sz val="9"/>
        <color rgb="FF000000"/>
        <rFont val="Malgun Gothic"/>
        <family val="0"/>
        <charset val="1"/>
      </rPr>
      <t xml:space="preserve">Envelope</t>
    </r>
    <r>
      <rPr>
        <sz val="9"/>
        <color rgb="FF000000"/>
        <rFont val="Noto Sans CJK SC"/>
        <family val="2"/>
      </rPr>
      <t xml:space="preserve">로 한다</t>
    </r>
    <r>
      <rPr>
        <sz val="9"/>
        <color rgb="FF000000"/>
        <rFont val="Malgun Gothic"/>
        <family val="0"/>
        <charset val="1"/>
      </rPr>
      <t xml:space="preserve">.</t>
    </r>
  </si>
  <si>
    <r>
      <rPr>
        <b val="true"/>
        <sz val="11"/>
        <color rgb="FF1F3864"/>
        <rFont val="Malgun Gothic"/>
        <family val="0"/>
        <charset val="1"/>
      </rPr>
      <t xml:space="preserve">[ </t>
    </r>
    <r>
      <rPr>
        <b val="true"/>
        <sz val="11"/>
        <color rgb="FF1F3864"/>
        <rFont val="Noto Sans CJK SC"/>
        <family val="2"/>
      </rPr>
      <t xml:space="preserve">검증 </t>
    </r>
    <r>
      <rPr>
        <b val="true"/>
        <sz val="11"/>
        <color rgb="FF1F3864"/>
        <rFont val="Malgun Gothic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</si>
  <si>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• 위 정상상태 수식값은 </t>
    </r>
    <r>
      <rPr>
        <sz val="9"/>
        <color rgb="FF000000"/>
        <rFont val="Malgun Gothic"/>
        <family val="0"/>
        <charset val="1"/>
      </rPr>
      <t xml:space="preserve">dynamics.py </t>
    </r>
    <r>
      <rPr>
        <sz val="9"/>
        <color rgb="FF000000"/>
        <rFont val="Noto Sans CJK SC"/>
        <family val="2"/>
      </rPr>
      <t xml:space="preserve">정상상태 해와 일치</t>
    </r>
    <r>
      <rPr>
        <sz val="9"/>
        <color rgb="FF000000"/>
        <rFont val="Malgun Gothic"/>
        <family val="0"/>
        <charset val="1"/>
      </rPr>
      <t xml:space="preserve">, RK4 </t>
    </r>
    <r>
      <rPr>
        <sz val="9"/>
        <color rgb="FF000000"/>
        <rFont val="Noto Sans CJK SC"/>
        <family val="2"/>
      </rPr>
      <t xml:space="preserve">과도값은 코드 출력 그대로</t>
    </r>
    <r>
      <rPr>
        <sz val="9"/>
        <color rgb="FF000000"/>
        <rFont val="Malgun Gothic"/>
        <family val="0"/>
        <charset val="1"/>
      </rPr>
      <t xml:space="preserve">.</t>
    </r>
  </si>
  <si>
    <r>
      <rPr>
        <sz val="9"/>
        <color rgb="FF000000"/>
        <rFont val="Malgun Gothic"/>
        <family val="0"/>
        <charset val="1"/>
      </rPr>
      <t xml:space="preserve">• loads.py </t>
    </r>
    <r>
      <rPr>
        <sz val="9"/>
        <color rgb="FF000000"/>
        <rFont val="Noto Sans CJK SC"/>
        <family val="2"/>
      </rPr>
      <t xml:space="preserve">의 정역학 함수</t>
    </r>
    <r>
      <rPr>
        <sz val="9"/>
        <color rgb="FF000000"/>
        <rFont val="Malgun Gothic"/>
        <family val="0"/>
        <charset val="1"/>
      </rPr>
      <t xml:space="preserve">(device_force_at)</t>
    </r>
    <r>
      <rPr>
        <sz val="9"/>
        <color rgb="FF000000"/>
        <rFont val="Noto Sans CJK SC"/>
        <family val="2"/>
      </rPr>
      <t xml:space="preserve">는 현재 </t>
    </r>
    <r>
      <rPr>
        <sz val="9"/>
        <color rgb="FF000000"/>
        <rFont val="Malgun Gothic"/>
        <family val="0"/>
        <charset val="1"/>
      </rPr>
      <t xml:space="preserve">GUI </t>
    </r>
    <r>
      <rPr>
        <sz val="9"/>
        <color rgb="FF000000"/>
        <rFont val="Noto Sans CJK SC"/>
        <family val="2"/>
      </rPr>
      <t xml:space="preserve">파이프라인에서 호출되지 않음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Malgun Gothic"/>
        <family val="0"/>
        <charset val="1"/>
      </rPr>
      <t xml:space="preserve">·MGT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Malgun Gothic"/>
        <family val="0"/>
        <charset val="1"/>
      </rPr>
      <t xml:space="preserve">100% </t>
    </r>
    <r>
      <rPr>
        <sz val="9"/>
        <color rgb="FF000000"/>
        <rFont val="Noto Sans CJK SC"/>
        <family val="2"/>
      </rPr>
      <t xml:space="preserve">동역학 경로</t>
    </r>
    <r>
      <rPr>
        <sz val="9"/>
        <color rgb="FF000000"/>
        <rFont val="Malgun Gothic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</si>
</sst>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######"/>
    <numFmt numFmtId="166" formatCode="0.000"/>
    <numFmt numFmtId="167" formatCode="0.00"/>
    <numFmt numFmtId="168" formatCode="0.0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b val="true"/>
      <sz val="16"/>
      <color rgb="FFFFFFFF"/>
      <name val="Malgun Gothic"/>
      <family val="0"/>
      <charset val="1"/>
    </font>
    <font>
      <i val="true"/>
      <sz val="10"/>
      <color rgb="FFFFFFFF"/>
      <name val="Noto Sans CJK SC"/>
      <family val="2"/>
    </font>
    <font>
      <i val="true"/>
      <sz val="10"/>
      <color rgb="FFFFFFFF"/>
      <name val="Malgun Gothic"/>
      <family val="0"/>
      <charset val="1"/>
    </font>
    <font>
      <b val="true"/>
      <sz val="12"/>
      <color rgb="FF1F3864"/>
      <name val="Noto Sans CJK SC"/>
      <family val="2"/>
    </font>
    <font>
      <b val="true"/>
      <sz val="10"/>
      <color rgb="FF595959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Malgun Gothic"/>
      <family val="0"/>
      <charset val="1"/>
    </font>
    <font>
      <b val="true"/>
      <sz val="10"/>
      <color rgb="FF595959"/>
      <name val="Malgun Gothic"/>
      <family val="0"/>
      <charset val="1"/>
    </font>
    <font>
      <b val="true"/>
      <sz val="12"/>
      <color rgb="FF1F3864"/>
      <name val="Malgun Gothic"/>
      <family val="0"/>
      <charset val="1"/>
    </font>
    <font>
      <b val="true"/>
      <sz val="10"/>
      <color rgb="FF000000"/>
      <name val="Noto Sans CJK SC"/>
      <family val="2"/>
    </font>
    <font>
      <b val="true"/>
      <sz val="12"/>
      <color rgb="FFC00000"/>
      <name val="Malgun Gothic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Malgun Gothic"/>
      <family val="0"/>
      <charset val="1"/>
    </font>
    <font>
      <b val="true"/>
      <sz val="15"/>
      <color rgb="FF1F3864"/>
      <name val="Malgun Gothic"/>
      <family val="0"/>
      <charset val="1"/>
    </font>
    <font>
      <b val="true"/>
      <sz val="15"/>
      <color rgb="FF1F3864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000000"/>
      <name val="Malgun Gothic"/>
      <family val="0"/>
      <charset val="1"/>
    </font>
    <font>
      <i val="true"/>
      <sz val="10"/>
      <color rgb="FF000000"/>
      <name val="Malgun Gothic"/>
      <family val="0"/>
      <charset val="1"/>
    </font>
    <font>
      <sz val="10"/>
      <color rgb="FF0000CC"/>
      <name val="Malgun Gothic"/>
      <family val="0"/>
      <charset val="1"/>
    </font>
    <font>
      <sz val="10"/>
      <color rgb="FF595959"/>
      <name val="Malgun Gothic"/>
      <family val="0"/>
      <charset val="1"/>
    </font>
    <font>
      <sz val="9"/>
      <color rgb="FF595959"/>
      <name val="Noto Sans CJK SC"/>
      <family val="2"/>
    </font>
    <font>
      <sz val="9"/>
      <color rgb="FF595959"/>
      <name val="Malgun Gothic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Malgun Gothic"/>
      <family val="0"/>
      <charset val="1"/>
    </font>
    <font>
      <b val="true"/>
      <sz val="13"/>
      <color rgb="FF2F5597"/>
      <name val="Malgun Gothic"/>
      <family val="0"/>
      <charset val="1"/>
    </font>
    <font>
      <b val="true"/>
      <sz val="11"/>
      <color rgb="FF000000"/>
      <name val="Malgun Gothic"/>
      <family val="0"/>
      <charset val="1"/>
    </font>
    <font>
      <sz val="9"/>
      <color rgb="FF000000"/>
      <name val="Noto Sans CJK SC"/>
      <family val="2"/>
    </font>
    <font>
      <sz val="9"/>
      <color rgb="FF000000"/>
      <name val="Malgun Gothic"/>
      <family val="0"/>
      <charset val="1"/>
    </font>
    <font>
      <b val="true"/>
      <sz val="14"/>
      <color rgb="FF1F3864"/>
      <name val="Malgun Gothic"/>
      <family val="0"/>
      <charset val="1"/>
    </font>
    <font>
      <b val="true"/>
      <sz val="14"/>
      <color rgb="FF1F386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b val="true"/>
      <sz val="9"/>
      <color rgb="FF000000"/>
      <name val="Malgun Gothic"/>
      <family val="0"/>
      <charset val="1"/>
    </font>
    <font>
      <sz val="9"/>
      <color rgb="FF008000"/>
      <name val="Malgun Gothic"/>
      <family val="0"/>
      <charset val="1"/>
    </font>
    <font>
      <b val="true"/>
      <sz val="11"/>
      <color rgb="FF2F5597"/>
      <name val="Malgun Gothic"/>
      <family val="0"/>
      <charset val="1"/>
    </font>
    <font>
      <b val="true"/>
      <sz val="9"/>
      <color rgb="FF000000"/>
      <name val="Noto Sans CJK SC"/>
      <family val="2"/>
    </font>
    <font>
      <sz val="8"/>
      <color rgb="FF595959"/>
      <name val="Malgun Gothic"/>
      <family val="0"/>
      <charset val="1"/>
    </font>
    <font>
      <sz val="8"/>
      <color rgb="FF595959"/>
      <name val="Noto Sans CJK SC"/>
      <family val="2"/>
    </font>
    <font>
      <sz val="10"/>
      <color rgb="FF008000"/>
      <name val="Malgun Gothic"/>
      <family val="0"/>
      <charset val="1"/>
    </font>
    <font>
      <b val="true"/>
      <sz val="10"/>
      <color rgb="FF008000"/>
      <name val="Malgun Gothic"/>
      <family val="0"/>
      <charset val="1"/>
    </font>
    <font>
      <b val="true"/>
      <sz val="11"/>
      <color rgb="FF1F3864"/>
      <name val="Malgun Gothic"/>
      <family val="0"/>
      <charset val="1"/>
    </font>
    <font>
      <b val="true"/>
      <sz val="11"/>
      <color rgb="FF1F3864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BE2E2"/>
      </patternFill>
    </fill>
    <fill>
      <patternFill patternType="solid">
        <fgColor rgb="FFE2EFDA"/>
        <bgColor rgb="FFDDEBF7"/>
      </patternFill>
    </fill>
    <fill>
      <patternFill patternType="solid">
        <fgColor rgb="FFFBE2E2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B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8"/>
  </cols>
  <sheetData>
    <row r="1" customFormat="false" ht="30" hidden="false" customHeight="true" outlineLevel="0" collapsed="false">
      <c r="B1" s="1" t="s">
        <v>0</v>
      </c>
      <c r="C1" s="1"/>
    </row>
    <row r="2" customFormat="false" ht="15" hidden="false" customHeight="false" outlineLevel="0" collapsed="false">
      <c r="B2" s="2" t="s">
        <v>1</v>
      </c>
      <c r="C2" s="2"/>
    </row>
    <row r="4" customFormat="false" ht="19.4" hidden="false" customHeight="true" outlineLevel="0" collapsed="false">
      <c r="B4" s="3" t="s">
        <v>2</v>
      </c>
      <c r="C4" s="3"/>
    </row>
    <row r="5" customFormat="false" ht="42" hidden="false" customHeight="true" outlineLevel="0" collapsed="false">
      <c r="B5" s="4" t="s">
        <v>3</v>
      </c>
      <c r="C5" s="5" t="s">
        <v>4</v>
      </c>
    </row>
    <row r="6" customFormat="false" ht="42" hidden="false" customHeight="true" outlineLevel="0" collapsed="false">
      <c r="B6" s="6" t="s">
        <v>5</v>
      </c>
      <c r="C6" s="7" t="s">
        <v>6</v>
      </c>
    </row>
    <row r="7" customFormat="false" ht="15" hidden="false" customHeight="false" outlineLevel="0" collapsed="false">
      <c r="B7" s="4"/>
      <c r="C7" s="5"/>
    </row>
    <row r="8" customFormat="false" ht="19.4" hidden="false" customHeight="true" outlineLevel="0" collapsed="false">
      <c r="B8" s="8" t="s">
        <v>7</v>
      </c>
      <c r="C8" s="8"/>
    </row>
    <row r="9" customFormat="false" ht="42" hidden="false" customHeight="true" outlineLevel="0" collapsed="false">
      <c r="B9" s="4" t="s">
        <v>8</v>
      </c>
      <c r="C9" s="5" t="s">
        <v>9</v>
      </c>
    </row>
    <row r="10" customFormat="false" ht="15" hidden="false" customHeight="false" outlineLevel="0" collapsed="false">
      <c r="B10" s="9" t="s">
        <v>10</v>
      </c>
      <c r="C10" s="10" t="s">
        <v>11</v>
      </c>
    </row>
    <row r="11" customFormat="false" ht="15" hidden="false" customHeight="false" outlineLevel="0" collapsed="false">
      <c r="B11" s="11" t="s">
        <v>12</v>
      </c>
      <c r="C11" s="5" t="s">
        <v>13</v>
      </c>
    </row>
    <row r="12" customFormat="false" ht="15" hidden="false" customHeight="false" outlineLevel="0" collapsed="false">
      <c r="B12" s="11" t="s">
        <v>14</v>
      </c>
      <c r="C12" s="5" t="s">
        <v>15</v>
      </c>
    </row>
    <row r="13" customFormat="false" ht="15" hidden="false" customHeight="false" outlineLevel="0" collapsed="false">
      <c r="B13" s="11" t="s">
        <v>16</v>
      </c>
      <c r="C13" s="5" t="s">
        <v>17</v>
      </c>
    </row>
    <row r="14" customFormat="false" ht="15" hidden="false" customHeight="false" outlineLevel="0" collapsed="false">
      <c r="B14" s="4"/>
      <c r="C14" s="5"/>
    </row>
    <row r="15" customFormat="false" ht="19.4" hidden="false" customHeight="true" outlineLevel="0" collapsed="false">
      <c r="B15" s="3" t="s">
        <v>18</v>
      </c>
      <c r="C15" s="3"/>
    </row>
    <row r="16" customFormat="false" ht="15" hidden="false" customHeight="false" outlineLevel="0" collapsed="false">
      <c r="B16" s="6" t="s">
        <v>19</v>
      </c>
      <c r="C16" s="5" t="s">
        <v>20</v>
      </c>
    </row>
    <row r="17" customFormat="false" ht="15" hidden="false" customHeight="false" outlineLevel="0" collapsed="false">
      <c r="B17" s="6" t="s">
        <v>21</v>
      </c>
      <c r="C17" s="5" t="s">
        <v>22</v>
      </c>
    </row>
    <row r="18" customFormat="false" ht="15" hidden="false" customHeight="false" outlineLevel="0" collapsed="false">
      <c r="B18" s="6" t="s">
        <v>23</v>
      </c>
      <c r="C18" s="5" t="s">
        <v>24</v>
      </c>
    </row>
    <row r="19" customFormat="false" ht="15" hidden="false" customHeight="false" outlineLevel="0" collapsed="false">
      <c r="B19" s="6" t="s">
        <v>25</v>
      </c>
      <c r="C19" s="5" t="s">
        <v>26</v>
      </c>
    </row>
    <row r="20" customFormat="false" ht="15" hidden="false" customHeight="false" outlineLevel="0" collapsed="false">
      <c r="B20" s="4"/>
      <c r="C20" s="5"/>
    </row>
    <row r="21" customFormat="false" ht="42" hidden="false" customHeight="true" outlineLevel="0" collapsed="false">
      <c r="B21" s="3" t="s">
        <v>27</v>
      </c>
      <c r="C21" s="3"/>
    </row>
  </sheetData>
  <mergeCells count="6">
    <mergeCell ref="B1:C1"/>
    <mergeCell ref="B2:C2"/>
    <mergeCell ref="B4:C4"/>
    <mergeCell ref="B8:C8"/>
    <mergeCell ref="B15:C15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23.1" hidden="false" customHeight="false" outlineLevel="0" collapsed="false">
      <c r="B1" s="12" t="s">
        <v>28</v>
      </c>
    </row>
    <row r="3" customFormat="false" ht="15" hidden="false" customHeight="false" outlineLevel="0" collapsed="false">
      <c r="B3" s="13" t="s">
        <v>29</v>
      </c>
      <c r="C3" s="13" t="s">
        <v>30</v>
      </c>
      <c r="D3" s="13" t="s">
        <v>31</v>
      </c>
      <c r="E3" s="13" t="s">
        <v>32</v>
      </c>
      <c r="F3" s="13" t="s">
        <v>33</v>
      </c>
    </row>
    <row r="4" customFormat="false" ht="26.85" hidden="false" customHeight="false" outlineLevel="0" collapsed="false">
      <c r="B4" s="14" t="s">
        <v>34</v>
      </c>
      <c r="C4" s="15" t="s">
        <v>35</v>
      </c>
      <c r="D4" s="16" t="n">
        <v>150</v>
      </c>
      <c r="E4" s="17" t="s">
        <v>36</v>
      </c>
      <c r="F4" s="18" t="s">
        <v>37</v>
      </c>
    </row>
    <row r="5" customFormat="false" ht="15" hidden="false" customHeight="false" outlineLevel="0" collapsed="false">
      <c r="B5" s="14" t="s">
        <v>38</v>
      </c>
      <c r="C5" s="15" t="s">
        <v>39</v>
      </c>
      <c r="D5" s="16" t="n">
        <v>30</v>
      </c>
      <c r="E5" s="17" t="s">
        <v>36</v>
      </c>
      <c r="F5" s="18"/>
    </row>
    <row r="6" customFormat="false" ht="15" hidden="false" customHeight="false" outlineLevel="0" collapsed="false">
      <c r="B6" s="14" t="s">
        <v>40</v>
      </c>
      <c r="C6" s="15" t="s">
        <v>41</v>
      </c>
      <c r="D6" s="16" t="n">
        <v>1.5</v>
      </c>
      <c r="E6" s="17" t="s">
        <v>42</v>
      </c>
      <c r="F6" s="18" t="s">
        <v>43</v>
      </c>
    </row>
    <row r="7" customFormat="false" ht="15" hidden="false" customHeight="false" outlineLevel="0" collapsed="false">
      <c r="B7" s="14" t="s">
        <v>44</v>
      </c>
      <c r="C7" s="15" t="s">
        <v>45</v>
      </c>
      <c r="D7" s="16" t="n">
        <v>9.80665</v>
      </c>
      <c r="E7" s="17" t="s">
        <v>46</v>
      </c>
      <c r="F7" s="19" t="s">
        <v>47</v>
      </c>
    </row>
    <row r="8" customFormat="false" ht="47.75" hidden="false" customHeight="false" outlineLevel="0" collapsed="false">
      <c r="B8" s="14" t="s">
        <v>48</v>
      </c>
      <c r="C8" s="15" t="s">
        <v>49</v>
      </c>
      <c r="D8" s="16" t="n">
        <v>0.03</v>
      </c>
      <c r="E8" s="17" t="s">
        <v>50</v>
      </c>
      <c r="F8" s="19" t="s">
        <v>51</v>
      </c>
    </row>
    <row r="9" customFormat="false" ht="26.85" hidden="false" customHeight="false" outlineLevel="0" collapsed="false">
      <c r="B9" s="14" t="s">
        <v>52</v>
      </c>
      <c r="C9" s="15" t="s">
        <v>53</v>
      </c>
      <c r="D9" s="16" t="n">
        <v>2</v>
      </c>
      <c r="E9" s="17" t="s">
        <v>54</v>
      </c>
      <c r="F9" s="18" t="s">
        <v>55</v>
      </c>
    </row>
    <row r="10" customFormat="false" ht="49.95" hidden="false" customHeight="false" outlineLevel="0" collapsed="false">
      <c r="B10" s="14" t="s">
        <v>56</v>
      </c>
      <c r="C10" s="15" t="s">
        <v>57</v>
      </c>
      <c r="D10" s="16" t="n">
        <v>2</v>
      </c>
      <c r="E10" s="17" t="s">
        <v>46</v>
      </c>
      <c r="F10" s="18" t="s">
        <v>58</v>
      </c>
    </row>
    <row r="11" customFormat="false" ht="24.6" hidden="false" customHeight="false" outlineLevel="0" collapsed="false">
      <c r="B11" s="14" t="s">
        <v>59</v>
      </c>
      <c r="C11" s="15" t="s">
        <v>60</v>
      </c>
      <c r="D11" s="16" t="n">
        <v>4</v>
      </c>
      <c r="E11" s="17" t="s">
        <v>46</v>
      </c>
      <c r="F11" s="19" t="s">
        <v>61</v>
      </c>
    </row>
    <row r="12" customFormat="false" ht="24.6" hidden="false" customHeight="false" outlineLevel="0" collapsed="false">
      <c r="B12" s="14" t="s">
        <v>62</v>
      </c>
      <c r="C12" s="15" t="s">
        <v>63</v>
      </c>
      <c r="D12" s="20" t="n">
        <f aca="false">D4*D7</f>
        <v>1470.9975</v>
      </c>
      <c r="E12" s="17" t="s">
        <v>64</v>
      </c>
      <c r="F12" s="19" t="s">
        <v>65</v>
      </c>
    </row>
    <row r="13" customFormat="false" ht="15" hidden="false" customHeight="false" outlineLevel="0" collapsed="false">
      <c r="B13" s="14" t="s">
        <v>66</v>
      </c>
      <c r="C13" s="15" t="s">
        <v>67</v>
      </c>
      <c r="D13" s="20" t="n">
        <f aca="false">SQRT(D7/D6)</f>
        <v>2.55690568200445</v>
      </c>
      <c r="E13" s="17" t="s">
        <v>68</v>
      </c>
      <c r="F13" s="18"/>
    </row>
    <row r="14" customFormat="false" ht="24.6" hidden="false" customHeight="false" outlineLevel="0" collapsed="false">
      <c r="B14" s="14" t="s">
        <v>69</v>
      </c>
      <c r="C14" s="15" t="s">
        <v>70</v>
      </c>
      <c r="D14" s="20" t="n">
        <f aca="false">2*PI()*SQRT(D6/D7)</f>
        <v>2.45733949101085</v>
      </c>
      <c r="E14" s="17" t="s">
        <v>71</v>
      </c>
      <c r="F14" s="18" t="s">
        <v>72</v>
      </c>
    </row>
    <row r="16" customFormat="false" ht="17.15" hidden="false" customHeight="false" outlineLevel="0" collapsed="false">
      <c r="B16" s="21" t="s">
        <v>73</v>
      </c>
      <c r="C16" s="21"/>
      <c r="D16" s="21"/>
      <c r="E16" s="21"/>
      <c r="F16" s="21"/>
    </row>
    <row r="17" customFormat="false" ht="15" hidden="false" customHeight="false" outlineLevel="0" collapsed="false">
      <c r="B17" s="13" t="s">
        <v>29</v>
      </c>
      <c r="C17" s="13" t="s">
        <v>30</v>
      </c>
      <c r="D17" s="13" t="s">
        <v>31</v>
      </c>
      <c r="E17" s="13" t="s">
        <v>32</v>
      </c>
      <c r="F17" s="13" t="s">
        <v>33</v>
      </c>
    </row>
    <row r="18" customFormat="false" ht="39.55" hidden="false" customHeight="false" outlineLevel="0" collapsed="false">
      <c r="B18" s="14" t="s">
        <v>74</v>
      </c>
      <c r="C18" s="15" t="s">
        <v>75</v>
      </c>
      <c r="D18" s="16" t="n">
        <v>-0.693406311661425</v>
      </c>
      <c r="E18" s="17" t="s">
        <v>50</v>
      </c>
      <c r="F18" s="18" t="s">
        <v>76</v>
      </c>
    </row>
    <row r="19" customFormat="false" ht="15" hidden="false" customHeight="false" outlineLevel="0" collapsed="false">
      <c r="B19" s="14" t="s">
        <v>77</v>
      </c>
      <c r="C19" s="15" t="s">
        <v>78</v>
      </c>
      <c r="D19" s="16" t="n">
        <v>0.672321940543552</v>
      </c>
      <c r="E19" s="17" t="s">
        <v>50</v>
      </c>
      <c r="F19" s="18"/>
    </row>
    <row r="20" customFormat="false" ht="24.6" hidden="false" customHeight="false" outlineLevel="0" collapsed="false">
      <c r="B20" s="14" t="s">
        <v>79</v>
      </c>
      <c r="C20" s="15" t="s">
        <v>80</v>
      </c>
      <c r="D20" s="16" t="n">
        <v>0.259173484777767</v>
      </c>
      <c r="E20" s="17" t="s">
        <v>50</v>
      </c>
      <c r="F20" s="18" t="s">
        <v>81</v>
      </c>
    </row>
    <row r="21" customFormat="false" ht="39.55" hidden="false" customHeight="false" outlineLevel="0" collapsed="false">
      <c r="B21" s="14" t="s">
        <v>82</v>
      </c>
      <c r="C21" s="15" t="s">
        <v>83</v>
      </c>
      <c r="D21" s="16" t="n">
        <v>-0.696104597354768</v>
      </c>
      <c r="E21" s="17" t="s">
        <v>50</v>
      </c>
      <c r="F21" s="18" t="s">
        <v>84</v>
      </c>
    </row>
    <row r="22" customFormat="false" ht="15" hidden="false" customHeight="false" outlineLevel="0" collapsed="false">
      <c r="B22" s="14" t="s">
        <v>85</v>
      </c>
      <c r="C22" s="15" t="s">
        <v>86</v>
      </c>
      <c r="D22" s="16" t="n">
        <v>-0.717940380068157</v>
      </c>
      <c r="E22" s="17" t="s">
        <v>50</v>
      </c>
      <c r="F22" s="18"/>
    </row>
    <row r="23" customFormat="false" ht="35.05" hidden="false" customHeight="false" outlineLevel="0" collapsed="false">
      <c r="B23" s="14" t="s">
        <v>87</v>
      </c>
      <c r="C23" s="15" t="s">
        <v>88</v>
      </c>
      <c r="D23" s="16" t="n">
        <v>1.44619E-005</v>
      </c>
      <c r="E23" s="17" t="s">
        <v>50</v>
      </c>
      <c r="F23" s="19" t="s">
        <v>89</v>
      </c>
    </row>
    <row r="24" customFormat="false" ht="15" hidden="false" customHeight="false" outlineLevel="0" collapsed="false">
      <c r="B24" s="14" t="s">
        <v>90</v>
      </c>
      <c r="C24" s="15" t="s">
        <v>91</v>
      </c>
      <c r="D24" s="16" t="n">
        <v>3.18937697545409</v>
      </c>
      <c r="E24" s="17" t="s">
        <v>42</v>
      </c>
      <c r="F24" s="18"/>
    </row>
    <row r="25" customFormat="false" ht="37.3" hidden="false" customHeight="false" outlineLevel="0" collapsed="false">
      <c r="B25" s="14" t="s">
        <v>92</v>
      </c>
      <c r="C25" s="15" t="s">
        <v>71</v>
      </c>
      <c r="D25" s="16" t="n">
        <v>0.860623641085785</v>
      </c>
      <c r="E25" s="17" t="s">
        <v>42</v>
      </c>
      <c r="F25" s="19" t="s">
        <v>93</v>
      </c>
    </row>
  </sheetData>
  <mergeCells count="1"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46"/>
    <col collapsed="false" customWidth="true" hidden="false" outlineLevel="0" max="4" min="4" style="0" width="70"/>
  </cols>
  <sheetData>
    <row r="1" customFormat="false" ht="23.1" hidden="false" customHeight="false" outlineLevel="0" collapsed="false">
      <c r="B1" s="22" t="s">
        <v>94</v>
      </c>
      <c r="C1" s="22"/>
      <c r="D1" s="22"/>
    </row>
    <row r="3" customFormat="false" ht="15" hidden="false" customHeight="false" outlineLevel="0" collapsed="false">
      <c r="B3" s="13" t="s">
        <v>95</v>
      </c>
      <c r="C3" s="13" t="s">
        <v>96</v>
      </c>
      <c r="D3" s="13" t="s">
        <v>97</v>
      </c>
    </row>
    <row r="4" customFormat="false" ht="45.75" hidden="false" customHeight="true" outlineLevel="0" collapsed="false">
      <c r="B4" s="23" t="s">
        <v>98</v>
      </c>
      <c r="C4" s="24" t="s">
        <v>99</v>
      </c>
      <c r="D4" s="25" t="s">
        <v>100</v>
      </c>
    </row>
    <row r="5" customFormat="false" ht="45.75" hidden="false" customHeight="true" outlineLevel="0" collapsed="false">
      <c r="B5" s="23" t="s">
        <v>101</v>
      </c>
      <c r="C5" s="24" t="s">
        <v>102</v>
      </c>
      <c r="D5" s="25" t="s">
        <v>103</v>
      </c>
    </row>
    <row r="6" customFormat="false" ht="45.75" hidden="false" customHeight="true" outlineLevel="0" collapsed="false">
      <c r="B6" s="23" t="s">
        <v>104</v>
      </c>
      <c r="C6" s="24" t="s">
        <v>105</v>
      </c>
      <c r="D6" s="25" t="s">
        <v>106</v>
      </c>
    </row>
    <row r="7" customFormat="false" ht="45.75" hidden="false" customHeight="true" outlineLevel="0" collapsed="false">
      <c r="B7" s="23" t="s">
        <v>107</v>
      </c>
      <c r="C7" s="24" t="s">
        <v>108</v>
      </c>
      <c r="D7" s="25" t="s">
        <v>109</v>
      </c>
    </row>
    <row r="8" customFormat="false" ht="45.75" hidden="false" customHeight="true" outlineLevel="0" collapsed="false">
      <c r="B8" s="23" t="s">
        <v>110</v>
      </c>
      <c r="C8" s="24" t="s">
        <v>111</v>
      </c>
      <c r="D8" s="25" t="s">
        <v>112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46"/>
  </cols>
  <sheetData>
    <row r="1" customFormat="false" ht="21.6" hidden="false" customHeight="false" outlineLevel="0" collapsed="false">
      <c r="B1" s="26" t="s">
        <v>113</v>
      </c>
      <c r="C1" s="26"/>
      <c r="D1" s="26"/>
      <c r="E1" s="26"/>
      <c r="F1" s="26"/>
    </row>
    <row r="2" customFormat="false" ht="15" hidden="false" customHeight="false" outlineLevel="0" collapsed="false">
      <c r="B2" s="27" t="s">
        <v>114</v>
      </c>
      <c r="C2" s="27"/>
      <c r="D2" s="27"/>
      <c r="E2" s="27"/>
      <c r="F2" s="27"/>
    </row>
    <row r="4" customFormat="false" ht="15" hidden="false" customHeight="false" outlineLevel="0" collapsed="false">
      <c r="B4" s="13" t="s">
        <v>115</v>
      </c>
      <c r="C4" s="13"/>
    </row>
    <row r="5" customFormat="false" ht="15" hidden="false" customHeight="false" outlineLevel="0" collapsed="false">
      <c r="B5" s="28" t="s">
        <v>116</v>
      </c>
      <c r="C5" s="29" t="n">
        <f aca="false">1_입력값!D4</f>
        <v>150</v>
      </c>
    </row>
    <row r="6" customFormat="false" ht="15" hidden="false" customHeight="false" outlineLevel="0" collapsed="false">
      <c r="B6" s="28" t="s">
        <v>117</v>
      </c>
      <c r="C6" s="29" t="n">
        <f aca="false">1_입력값!D5</f>
        <v>30</v>
      </c>
    </row>
    <row r="7" customFormat="false" ht="15" hidden="false" customHeight="false" outlineLevel="0" collapsed="false">
      <c r="B7" s="28" t="s">
        <v>118</v>
      </c>
      <c r="C7" s="29" t="n">
        <f aca="false">1_입력값!D7</f>
        <v>9.80665</v>
      </c>
    </row>
    <row r="8" customFormat="false" ht="15" hidden="false" customHeight="false" outlineLevel="0" collapsed="false">
      <c r="B8" s="28" t="s">
        <v>119</v>
      </c>
      <c r="C8" s="29" t="n">
        <f aca="false">1_입력값!D9</f>
        <v>2</v>
      </c>
    </row>
    <row r="9" customFormat="false" ht="15" hidden="false" customHeight="false" outlineLevel="0" collapsed="false">
      <c r="B9" s="28" t="s">
        <v>120</v>
      </c>
      <c r="C9" s="29" t="n">
        <f aca="false">1_입력값!D10</f>
        <v>2</v>
      </c>
    </row>
    <row r="10" customFormat="false" ht="15" hidden="false" customHeight="false" outlineLevel="0" collapsed="false">
      <c r="B10" s="28" t="s">
        <v>121</v>
      </c>
      <c r="C10" s="29" t="n">
        <f aca="false">1_입력값!D11</f>
        <v>4</v>
      </c>
    </row>
    <row r="11" customFormat="false" ht="15" hidden="false" customHeight="false" outlineLevel="0" collapsed="false">
      <c r="B11" s="28" t="s">
        <v>75</v>
      </c>
      <c r="C11" s="29" t="n">
        <f aca="false">1_입력값!D18</f>
        <v>-0.693406311661425</v>
      </c>
    </row>
    <row r="12" customFormat="false" ht="15" hidden="false" customHeight="false" outlineLevel="0" collapsed="false">
      <c r="B12" s="28" t="s">
        <v>78</v>
      </c>
      <c r="C12" s="29" t="n">
        <f aca="false">1_입력값!D19</f>
        <v>0.672321940543552</v>
      </c>
    </row>
    <row r="13" customFormat="false" ht="15" hidden="false" customHeight="false" outlineLevel="0" collapsed="false">
      <c r="B13" s="28" t="s">
        <v>80</v>
      </c>
      <c r="C13" s="29" t="n">
        <f aca="false">1_입력값!D20</f>
        <v>0.259173484777767</v>
      </c>
    </row>
    <row r="14" customFormat="false" ht="15" hidden="false" customHeight="false" outlineLevel="0" collapsed="false">
      <c r="B14" s="28" t="s">
        <v>83</v>
      </c>
      <c r="C14" s="29" t="n">
        <f aca="false">1_입력값!D21</f>
        <v>-0.696104597354768</v>
      </c>
    </row>
    <row r="15" customFormat="false" ht="15" hidden="false" customHeight="false" outlineLevel="0" collapsed="false">
      <c r="B15" s="28" t="s">
        <v>86</v>
      </c>
      <c r="C15" s="29" t="n">
        <f aca="false">1_입력값!D22</f>
        <v>-0.717940380068157</v>
      </c>
    </row>
    <row r="16" customFormat="false" ht="15" hidden="false" customHeight="false" outlineLevel="0" collapsed="false">
      <c r="B16" s="28" t="s">
        <v>88</v>
      </c>
      <c r="C16" s="29" t="n">
        <f aca="false">1_입력값!D23</f>
        <v>1.44619E-005</v>
      </c>
    </row>
    <row r="17" customFormat="false" ht="15" hidden="false" customHeight="false" outlineLevel="0" collapsed="false">
      <c r="B17" s="28" t="s">
        <v>122</v>
      </c>
      <c r="C17" s="29" t="n">
        <f aca="false">1_입력값!D24</f>
        <v>3.18937697545409</v>
      </c>
    </row>
    <row r="18" customFormat="false" ht="15" hidden="false" customHeight="false" outlineLevel="0" collapsed="false">
      <c r="B18" s="28" t="s">
        <v>123</v>
      </c>
      <c r="C18" s="29" t="n">
        <f aca="false">1_입력값!D25</f>
        <v>0.860623641085785</v>
      </c>
    </row>
    <row r="21" customFormat="false" ht="15" hidden="false" customHeight="false" outlineLevel="0" collapsed="false">
      <c r="A21" s="13" t="s">
        <v>95</v>
      </c>
      <c r="B21" s="13" t="s">
        <v>124</v>
      </c>
      <c r="C21" s="30" t="s">
        <v>125</v>
      </c>
      <c r="D21" s="31" t="s">
        <v>126</v>
      </c>
      <c r="E21" s="32" t="s">
        <v>127</v>
      </c>
      <c r="F21" s="13" t="s">
        <v>128</v>
      </c>
    </row>
    <row r="22" customFormat="false" ht="15" hidden="false" customHeight="false" outlineLevel="0" collapsed="false">
      <c r="A22" s="33" t="s">
        <v>98</v>
      </c>
      <c r="B22" s="34" t="s">
        <v>129</v>
      </c>
      <c r="C22" s="35" t="n">
        <f aca="false">MIN(SQRT(2*$C$9*$C$18),$C$8)</f>
        <v>1.85539606670466</v>
      </c>
      <c r="D22" s="35" t="n">
        <f aca="false">$C$8</f>
        <v>2</v>
      </c>
      <c r="E22" s="35" t="n">
        <f aca="false">$C$8</f>
        <v>2</v>
      </c>
      <c r="F22" s="36" t="s">
        <v>130</v>
      </c>
    </row>
    <row r="23" customFormat="false" ht="15" hidden="false" customHeight="false" outlineLevel="0" collapsed="false">
      <c r="A23" s="37"/>
      <c r="B23" s="38" t="s">
        <v>131</v>
      </c>
      <c r="C23" s="35" t="n">
        <f aca="false">IF(C22&lt;$C$8-0.000001,$C$9,0)</f>
        <v>2</v>
      </c>
      <c r="D23" s="35" t="n">
        <f aca="false">0</f>
        <v>0</v>
      </c>
      <c r="E23" s="35" t="n">
        <f aca="false">-$C$10</f>
        <v>-4</v>
      </c>
      <c r="F23" s="36" t="s">
        <v>132</v>
      </c>
    </row>
    <row r="24" customFormat="false" ht="15" hidden="false" customHeight="false" outlineLevel="0" collapsed="false">
      <c r="A24" s="33" t="s">
        <v>101</v>
      </c>
      <c r="B24" s="34" t="s">
        <v>133</v>
      </c>
      <c r="C24" s="35" t="n">
        <f aca="false">C22^2/$C$17*$C$14</f>
        <v>-0.751349342222826</v>
      </c>
      <c r="D24" s="35" t="n">
        <f aca="false">D22^2/$C$17*$C$14</f>
        <v>-0.873028936638209</v>
      </c>
      <c r="E24" s="35" t="n">
        <f aca="false">E22^2/$C$17*$C$14</f>
        <v>-0.873028936638209</v>
      </c>
      <c r="F24" s="39" t="s">
        <v>134</v>
      </c>
    </row>
    <row r="25" customFormat="false" ht="15" hidden="false" customHeight="false" outlineLevel="0" collapsed="false">
      <c r="A25" s="37"/>
      <c r="B25" s="38" t="s">
        <v>135</v>
      </c>
      <c r="C25" s="35" t="n">
        <f aca="false">C22^2/$C$17*$C$15</f>
        <v>-0.774918071751362</v>
      </c>
      <c r="D25" s="35" t="n">
        <f aca="false">D22^2/$C$17*$C$15</f>
        <v>-0.900414577008024</v>
      </c>
      <c r="E25" s="35" t="n">
        <f aca="false">E22^2/$C$17*$C$15</f>
        <v>-0.900414577008024</v>
      </c>
      <c r="F25" s="36"/>
    </row>
    <row r="26" customFormat="false" ht="15" hidden="false" customHeight="false" outlineLevel="0" collapsed="false">
      <c r="A26" s="37"/>
      <c r="B26" s="38" t="s">
        <v>136</v>
      </c>
      <c r="C26" s="35" t="n">
        <f aca="false">C22^2/$C$17*$C$16</f>
        <v>1.56096355254417E-005</v>
      </c>
      <c r="D26" s="35" t="n">
        <f aca="false">D22^2/$C$17*$C$16</f>
        <v>1.81375862575053E-005</v>
      </c>
      <c r="E26" s="35" t="n">
        <f aca="false">E22^2/$C$17*$C$16</f>
        <v>1.81375862575053E-005</v>
      </c>
      <c r="F26" s="36"/>
    </row>
    <row r="27" customFormat="false" ht="15" hidden="false" customHeight="false" outlineLevel="0" collapsed="false">
      <c r="A27" s="37"/>
      <c r="B27" s="38" t="s">
        <v>137</v>
      </c>
      <c r="C27" s="35" t="n">
        <f aca="false">C23*$C$11+C24</f>
        <v>-2.13816196554568</v>
      </c>
      <c r="D27" s="35" t="n">
        <f aca="false">D23*$C$11+D24</f>
        <v>-0.873028936638209</v>
      </c>
      <c r="E27" s="35" t="n">
        <f aca="false">E23*$C$11+E24</f>
        <v>1.90059631000749</v>
      </c>
      <c r="F27" s="39" t="s">
        <v>138</v>
      </c>
    </row>
    <row r="28" customFormat="false" ht="15" hidden="false" customHeight="false" outlineLevel="0" collapsed="false">
      <c r="A28" s="37"/>
      <c r="B28" s="38" t="s">
        <v>135</v>
      </c>
      <c r="C28" s="35" t="n">
        <f aca="false">C23*$C$12+C25</f>
        <v>0.569725809335742</v>
      </c>
      <c r="D28" s="35" t="n">
        <f aca="false">D23*$C$12+D25</f>
        <v>-0.900414577008024</v>
      </c>
      <c r="E28" s="35" t="n">
        <f aca="false">E23*$C$12+E25</f>
        <v>-3.58970233918223</v>
      </c>
      <c r="F28" s="36"/>
    </row>
    <row r="29" customFormat="false" ht="15" hidden="false" customHeight="false" outlineLevel="0" collapsed="false">
      <c r="A29" s="37"/>
      <c r="B29" s="38" t="s">
        <v>136</v>
      </c>
      <c r="C29" s="35" t="n">
        <f aca="false">C23*$C$13+C26</f>
        <v>0.518362579191059</v>
      </c>
      <c r="D29" s="35" t="n">
        <f aca="false">D23*$C$13+D26</f>
        <v>1.81375862575053E-005</v>
      </c>
      <c r="E29" s="35" t="n">
        <f aca="false">E23*$C$13+E26</f>
        <v>-1.03667580152481</v>
      </c>
      <c r="F29" s="36"/>
    </row>
    <row r="30" customFormat="false" ht="15" hidden="false" customHeight="false" outlineLevel="0" collapsed="false">
      <c r="A30" s="33" t="s">
        <v>104</v>
      </c>
      <c r="B30" s="34" t="s">
        <v>139</v>
      </c>
      <c r="C30" s="35" t="n">
        <f aca="false">-C27</f>
        <v>2.13816196554568</v>
      </c>
      <c r="D30" s="35" t="n">
        <f aca="false">-D27</f>
        <v>0.873028936638209</v>
      </c>
      <c r="E30" s="35" t="n">
        <f aca="false">-E27</f>
        <v>-1.90059631000749</v>
      </c>
      <c r="F30" s="39" t="s">
        <v>140</v>
      </c>
    </row>
    <row r="31" customFormat="false" ht="15" hidden="false" customHeight="false" outlineLevel="0" collapsed="false">
      <c r="A31" s="37"/>
      <c r="B31" s="38" t="s">
        <v>135</v>
      </c>
      <c r="C31" s="35" t="n">
        <f aca="false">-C28</f>
        <v>-0.569725809335742</v>
      </c>
      <c r="D31" s="35" t="n">
        <f aca="false">-D28</f>
        <v>0.900414577008024</v>
      </c>
      <c r="E31" s="35" t="n">
        <f aca="false">-E28</f>
        <v>3.58970233918223</v>
      </c>
      <c r="F31" s="36"/>
    </row>
    <row r="32" customFormat="false" ht="15" hidden="false" customHeight="false" outlineLevel="0" collapsed="false">
      <c r="A32" s="37"/>
      <c r="B32" s="38" t="s">
        <v>136</v>
      </c>
      <c r="C32" s="35" t="n">
        <f aca="false">-$C$7-C29</f>
        <v>-10.3250125791911</v>
      </c>
      <c r="D32" s="35" t="n">
        <f aca="false">-$C$7-D29</f>
        <v>-9.80666813758626</v>
      </c>
      <c r="E32" s="35" t="n">
        <f aca="false">-$C$7-E29</f>
        <v>-8.76997419847519</v>
      </c>
      <c r="F32" s="36"/>
    </row>
    <row r="33" customFormat="false" ht="15" hidden="false" customHeight="false" outlineLevel="0" collapsed="false">
      <c r="A33" s="37"/>
      <c r="B33" s="38" t="s">
        <v>141</v>
      </c>
      <c r="C33" s="35" t="n">
        <f aca="false">SQRT(C30^2+C31^2+C32^2)</f>
        <v>10.5594606324936</v>
      </c>
      <c r="D33" s="35" t="n">
        <f aca="false">SQRT(D30^2+D31^2+D32^2)</f>
        <v>9.88653963201715</v>
      </c>
      <c r="E33" s="35" t="n">
        <f aca="false">SQRT(E30^2+E31^2+E32^2)</f>
        <v>9.66491989927827</v>
      </c>
      <c r="F33" s="39" t="s">
        <v>142</v>
      </c>
    </row>
    <row r="34" customFormat="false" ht="15" hidden="false" customHeight="false" outlineLevel="0" collapsed="false">
      <c r="A34" s="33" t="s">
        <v>107</v>
      </c>
      <c r="B34" s="34" t="s">
        <v>143</v>
      </c>
      <c r="C34" s="35" t="n">
        <f aca="false">C30/C33</f>
        <v>0.202487801220274</v>
      </c>
      <c r="D34" s="35" t="n">
        <f aca="false">D30/D33</f>
        <v>0.0883048032105127</v>
      </c>
      <c r="E34" s="35" t="n">
        <f aca="false">E30/E33</f>
        <v>-0.196648945859284</v>
      </c>
      <c r="F34" s="39" t="s">
        <v>144</v>
      </c>
    </row>
    <row r="35" customFormat="false" ht="15" hidden="false" customHeight="false" outlineLevel="0" collapsed="false">
      <c r="A35" s="37"/>
      <c r="B35" s="38" t="s">
        <v>135</v>
      </c>
      <c r="C35" s="35" t="n">
        <f aca="false">C31/C33</f>
        <v>-0.0539540634852672</v>
      </c>
      <c r="D35" s="35" t="n">
        <f aca="false">D31/D33</f>
        <v>0.0910747956840297</v>
      </c>
      <c r="E35" s="35" t="n">
        <f aca="false">E31/E33</f>
        <v>0.371415632678993</v>
      </c>
      <c r="F35" s="36"/>
    </row>
    <row r="36" customFormat="false" ht="15" hidden="false" customHeight="false" outlineLevel="0" collapsed="false">
      <c r="A36" s="37"/>
      <c r="B36" s="38" t="s">
        <v>136</v>
      </c>
      <c r="C36" s="35" t="n">
        <f aca="false">C32/C33</f>
        <v>-0.977797345767724</v>
      </c>
      <c r="D36" s="35" t="n">
        <f aca="false">D32/D33</f>
        <v>-0.991921188059346</v>
      </c>
      <c r="E36" s="35" t="n">
        <f aca="false">E32/E33</f>
        <v>-0.907402677918737</v>
      </c>
      <c r="F36" s="36"/>
    </row>
    <row r="37" customFormat="false" ht="15" hidden="false" customHeight="false" outlineLevel="0" collapsed="false">
      <c r="A37" s="37"/>
      <c r="B37" s="25" t="s">
        <v>145</v>
      </c>
      <c r="C37" s="40" t="n">
        <f aca="false">DEGREES(ACOS(-C36))</f>
        <v>12.0961429292953</v>
      </c>
      <c r="D37" s="40" t="n">
        <f aca="false">DEGREES(ACOS(-D36))</f>
        <v>7.28793004939381</v>
      </c>
      <c r="E37" s="40" t="n">
        <f aca="false">DEGREES(ACOS(-E36))</f>
        <v>24.8511471352724</v>
      </c>
      <c r="F37" s="39" t="s">
        <v>146</v>
      </c>
    </row>
    <row r="38" customFormat="false" ht="15" hidden="false" customHeight="false" outlineLevel="0" collapsed="false">
      <c r="A38" s="33" t="s">
        <v>110</v>
      </c>
      <c r="B38" s="34" t="s">
        <v>147</v>
      </c>
      <c r="C38" s="41" t="n">
        <f aca="false">$C$5*C33</f>
        <v>1583.91909487405</v>
      </c>
      <c r="D38" s="41" t="n">
        <f aca="false">$C$5*D33</f>
        <v>1482.98094480257</v>
      </c>
      <c r="E38" s="41" t="n">
        <f aca="false">$C$5*E33</f>
        <v>1449.73798489174</v>
      </c>
      <c r="F38" s="39" t="s">
        <v>148</v>
      </c>
    </row>
    <row r="39" customFormat="false" ht="15" hidden="false" customHeight="false" outlineLevel="0" collapsed="false">
      <c r="A39" s="33" t="s">
        <v>149</v>
      </c>
      <c r="B39" s="42" t="s">
        <v>150</v>
      </c>
      <c r="C39" s="41" t="n">
        <f aca="false">-$C$6*C27</f>
        <v>64.1448589663703</v>
      </c>
      <c r="D39" s="41" t="n">
        <f aca="false">-$C$6*D27</f>
        <v>26.1908680991463</v>
      </c>
      <c r="E39" s="41" t="n">
        <f aca="false">-$C$6*E27</f>
        <v>-57.0178893002248</v>
      </c>
      <c r="F39" s="39" t="s">
        <v>151</v>
      </c>
    </row>
    <row r="40" customFormat="false" ht="15" hidden="false" customHeight="false" outlineLevel="0" collapsed="false">
      <c r="A40" s="37"/>
      <c r="B40" s="38" t="s">
        <v>135</v>
      </c>
      <c r="C40" s="41" t="n">
        <f aca="false">-$C$6*C28</f>
        <v>-17.0917742800722</v>
      </c>
      <c r="D40" s="41" t="n">
        <f aca="false">-$C$6*D28</f>
        <v>27.0124373102407</v>
      </c>
      <c r="E40" s="41" t="n">
        <f aca="false">-$C$6*E28</f>
        <v>107.691070175467</v>
      </c>
      <c r="F40" s="36"/>
    </row>
    <row r="41" customFormat="false" ht="15" hidden="false" customHeight="false" outlineLevel="0" collapsed="false">
      <c r="A41" s="37"/>
      <c r="B41" s="38" t="s">
        <v>136</v>
      </c>
      <c r="C41" s="41" t="n">
        <f aca="false">-$C$6*C29</f>
        <v>-15.5508773757318</v>
      </c>
      <c r="D41" s="41" t="n">
        <f aca="false">-$C$6*D29</f>
        <v>-0.000544127587725159</v>
      </c>
      <c r="E41" s="41" t="n">
        <f aca="false">-$C$6*E29</f>
        <v>31.1002740457443</v>
      </c>
      <c r="F41" s="36"/>
    </row>
    <row r="42" customFormat="false" ht="15" hidden="false" customHeight="false" outlineLevel="0" collapsed="false">
      <c r="A42" s="37"/>
      <c r="B42" s="25" t="s">
        <v>152</v>
      </c>
      <c r="C42" s="41" t="n">
        <f aca="false">0</f>
        <v>0</v>
      </c>
      <c r="D42" s="41" t="n">
        <f aca="false">0</f>
        <v>0</v>
      </c>
      <c r="E42" s="41" t="n">
        <f aca="false">0</f>
        <v>0</v>
      </c>
      <c r="F42" s="39" t="s">
        <v>153</v>
      </c>
    </row>
    <row r="43" customFormat="false" ht="15" hidden="false" customHeight="false" outlineLevel="0" collapsed="false">
      <c r="A43" s="37"/>
      <c r="B43" s="38" t="s">
        <v>136</v>
      </c>
      <c r="C43" s="41" t="n">
        <f aca="false">-$C$6*$C$7</f>
        <v>-294.1995</v>
      </c>
      <c r="D43" s="41" t="n">
        <f aca="false">-$C$6*$C$7</f>
        <v>-294.1995</v>
      </c>
      <c r="E43" s="41" t="n">
        <f aca="false">-$C$6*$C$7</f>
        <v>-294.1995</v>
      </c>
      <c r="F43" s="36"/>
    </row>
    <row r="44" customFormat="false" ht="15" hidden="false" customHeight="false" outlineLevel="0" collapsed="false">
      <c r="A44" s="37"/>
      <c r="B44" s="25" t="s">
        <v>154</v>
      </c>
      <c r="C44" s="41" t="n">
        <f aca="false">C38*C34</f>
        <v>320.724294831851</v>
      </c>
      <c r="D44" s="41" t="n">
        <f aca="false">D38*D34</f>
        <v>130.954340495731</v>
      </c>
      <c r="E44" s="41" t="n">
        <f aca="false">E38*E34</f>
        <v>-285.089446501124</v>
      </c>
      <c r="F44" s="39" t="s">
        <v>155</v>
      </c>
    </row>
    <row r="45" customFormat="false" ht="15" hidden="false" customHeight="false" outlineLevel="0" collapsed="false">
      <c r="A45" s="37"/>
      <c r="B45" s="38" t="s">
        <v>135</v>
      </c>
      <c r="C45" s="41" t="n">
        <f aca="false">C38*C35</f>
        <v>-85.4588714003612</v>
      </c>
      <c r="D45" s="41" t="n">
        <f aca="false">D38*D35</f>
        <v>135.062186551204</v>
      </c>
      <c r="E45" s="41" t="n">
        <f aca="false">E38*E35</f>
        <v>538.455350877335</v>
      </c>
      <c r="F45" s="36"/>
    </row>
    <row r="46" customFormat="false" ht="15" hidden="false" customHeight="false" outlineLevel="0" collapsed="false">
      <c r="A46" s="37"/>
      <c r="B46" s="38" t="s">
        <v>136</v>
      </c>
      <c r="C46" s="41" t="n">
        <f aca="false">C38*C36</f>
        <v>-1548.75188687866</v>
      </c>
      <c r="D46" s="41" t="n">
        <f aca="false">D38*D36</f>
        <v>-1471.00022063794</v>
      </c>
      <c r="E46" s="41" t="n">
        <f aca="false">E38*E36</f>
        <v>-1315.49612977128</v>
      </c>
      <c r="F46" s="36"/>
    </row>
    <row r="47" customFormat="false" ht="15" hidden="false" customHeight="false" outlineLevel="0" collapsed="false">
      <c r="A47" s="33" t="s">
        <v>156</v>
      </c>
      <c r="B47" s="34" t="s">
        <v>157</v>
      </c>
      <c r="C47" s="41" t="n">
        <f aca="false">C39+C42+C44</f>
        <v>384.869153798222</v>
      </c>
      <c r="D47" s="41" t="n">
        <f aca="false">D39+D42+D44</f>
        <v>157.145208594878</v>
      </c>
      <c r="E47" s="41" t="n">
        <f aca="false">E39+E42+E44</f>
        <v>-342.107335801349</v>
      </c>
      <c r="F47" s="39" t="s">
        <v>158</v>
      </c>
    </row>
    <row r="48" customFormat="false" ht="15" hidden="false" customHeight="false" outlineLevel="0" collapsed="false">
      <c r="A48" s="37"/>
      <c r="B48" s="38" t="s">
        <v>159</v>
      </c>
      <c r="C48" s="41" t="n">
        <f aca="false">C40+C42+C45</f>
        <v>-102.550645680433</v>
      </c>
      <c r="D48" s="41" t="n">
        <f aca="false">D40+D42+D45</f>
        <v>162.074623861444</v>
      </c>
      <c r="E48" s="41" t="n">
        <f aca="false">E40+E42+E45</f>
        <v>646.146421052802</v>
      </c>
      <c r="F48" s="39" t="s">
        <v>160</v>
      </c>
    </row>
    <row r="49" customFormat="false" ht="15" hidden="false" customHeight="false" outlineLevel="0" collapsed="false">
      <c r="A49" s="37"/>
      <c r="B49" s="38" t="s">
        <v>161</v>
      </c>
      <c r="C49" s="41" t="n">
        <f aca="false">C41+C43+C46</f>
        <v>-1858.50226425439</v>
      </c>
      <c r="D49" s="41" t="n">
        <f aca="false">D41+D43+D46</f>
        <v>-1765.20026476553</v>
      </c>
      <c r="E49" s="41" t="n">
        <f aca="false">E41+E43+E46</f>
        <v>-1578.59535572553</v>
      </c>
      <c r="F49" s="39" t="s">
        <v>162</v>
      </c>
    </row>
    <row r="50" customFormat="false" ht="15" hidden="false" customHeight="false" outlineLevel="0" collapsed="false">
      <c r="A50" s="37"/>
      <c r="B50" s="38" t="s">
        <v>163</v>
      </c>
      <c r="C50" s="41" t="n">
        <f aca="false">SQRT(C47^2+C48^2+C49^2)</f>
        <v>1900.70291384886</v>
      </c>
      <c r="D50" s="41" t="n">
        <f aca="false">SQRT(D47^2+D48^2+D49^2)</f>
        <v>1779.57713376309</v>
      </c>
      <c r="E50" s="41" t="n">
        <f aca="false">SQRT(E47^2+E48^2+E49^2)</f>
        <v>1739.68558187009</v>
      </c>
      <c r="F50" s="39" t="s">
        <v>164</v>
      </c>
    </row>
    <row r="51" customFormat="false" ht="15" hidden="false" customHeight="false" outlineLevel="0" collapsed="false">
      <c r="A51" s="33" t="s">
        <v>165</v>
      </c>
      <c r="B51" s="34" t="s">
        <v>166</v>
      </c>
      <c r="C51" s="43" t="n">
        <v>1648.1718</v>
      </c>
      <c r="D51" s="43" t="n">
        <v>1482.9809</v>
      </c>
      <c r="E51" s="43" t="n">
        <v>1669.839</v>
      </c>
      <c r="F51" s="39" t="s">
        <v>167</v>
      </c>
    </row>
    <row r="52" customFormat="false" ht="15" hidden="false" customHeight="false" outlineLevel="0" collapsed="false">
      <c r="A52" s="37"/>
      <c r="B52" s="38" t="s">
        <v>168</v>
      </c>
      <c r="C52" s="35" t="n">
        <f aca="false">C51/($C$5*$C$7)</f>
        <v>1.12044500415534</v>
      </c>
      <c r="D52" s="35" t="n">
        <f aca="false">D51/($C$5*$C$7)</f>
        <v>1.0081464448444</v>
      </c>
      <c r="E52" s="35" t="n">
        <f aca="false">E51/($C$5*$C$7)</f>
        <v>1.13517460090857</v>
      </c>
      <c r="F52" s="39" t="s">
        <v>169</v>
      </c>
    </row>
    <row r="53" customFormat="false" ht="15" hidden="false" customHeight="false" outlineLevel="0" collapsed="false">
      <c r="A53" s="37"/>
      <c r="B53" s="38" t="s">
        <v>170</v>
      </c>
      <c r="C53" s="43" t="n">
        <v>387.1542</v>
      </c>
      <c r="D53" s="43" t="n">
        <v>157.1452</v>
      </c>
      <c r="E53" s="43" t="n">
        <v>-367.8002</v>
      </c>
      <c r="F53" s="39" t="s">
        <v>171</v>
      </c>
    </row>
    <row r="54" customFormat="false" ht="15" hidden="false" customHeight="false" outlineLevel="0" collapsed="false">
      <c r="A54" s="37"/>
      <c r="B54" s="38" t="s">
        <v>159</v>
      </c>
      <c r="C54" s="43" t="n">
        <v>-103.1595</v>
      </c>
      <c r="D54" s="43" t="n">
        <v>162.0746</v>
      </c>
      <c r="E54" s="43" t="n">
        <v>711.5246</v>
      </c>
      <c r="F54" s="36"/>
    </row>
    <row r="55" customFormat="false" ht="15" hidden="false" customHeight="false" outlineLevel="0" collapsed="false">
      <c r="A55" s="37"/>
      <c r="B55" s="38" t="s">
        <v>161</v>
      </c>
      <c r="C55" s="43" t="n">
        <v>-1923.6654</v>
      </c>
      <c r="D55" s="43" t="n">
        <v>-1765.2003</v>
      </c>
      <c r="E55" s="43" t="n">
        <v>-1788.603</v>
      </c>
      <c r="F55" s="36"/>
    </row>
    <row r="56" customFormat="false" ht="15" hidden="false" customHeight="false" outlineLevel="0" collapsed="false">
      <c r="A56" s="44"/>
      <c r="B56" s="45" t="s">
        <v>172</v>
      </c>
      <c r="C56" s="46" t="n">
        <f aca="false">SQRT(C53^2+C54^2+C55^2)</f>
        <v>1964.94753827553</v>
      </c>
      <c r="D56" s="46" t="n">
        <f aca="false">SQRT(D53^2+D54^2+D55^2)</f>
        <v>1779.57716578076</v>
      </c>
      <c r="E56" s="46" t="n">
        <f aca="false">SQRT(E53^2+E54^2+E55^2)</f>
        <v>1959.75634585889</v>
      </c>
      <c r="F56" s="39" t="s">
        <v>173</v>
      </c>
    </row>
    <row r="57" customFormat="false" ht="15" hidden="false" customHeight="false" outlineLevel="0" collapsed="false">
      <c r="A57" s="33" t="s">
        <v>174</v>
      </c>
      <c r="B57" s="42" t="s">
        <v>175</v>
      </c>
      <c r="C57" s="47" t="str">
        <f aca="false">IF(C56=MAX($C$56,$D$56,$E$56),"◀ 지배","")</f>
        <v>◀ 지배</v>
      </c>
      <c r="D57" s="47" t="str">
        <f aca="false">IF(D56=MAX($C$56,$D$56,$E$56),"◀ 지배","")</f>
        <v/>
      </c>
      <c r="E57" s="47" t="str">
        <f aca="false">IF(E56=MAX($C$56,$D$56,$E$56),"◀ 지배","")</f>
        <v/>
      </c>
      <c r="F57" s="39" t="s">
        <v>176</v>
      </c>
    </row>
  </sheetData>
  <mergeCells count="3">
    <mergeCell ref="B1:F1"/>
    <mergeCell ref="B2:F2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2"/>
  </cols>
  <sheetData>
    <row r="1" customFormat="false" ht="23.1" hidden="false" customHeight="false" outlineLevel="0" collapsed="false">
      <c r="B1" s="22" t="s">
        <v>177</v>
      </c>
      <c r="C1" s="22"/>
      <c r="D1" s="22"/>
      <c r="E1" s="22"/>
      <c r="F1" s="22"/>
    </row>
    <row r="2" customFormat="false" ht="15" hidden="false" customHeight="false" outlineLevel="0" collapsed="false">
      <c r="B2" s="27" t="s">
        <v>178</v>
      </c>
      <c r="C2" s="27"/>
      <c r="D2" s="27"/>
      <c r="E2" s="27"/>
      <c r="F2" s="27"/>
    </row>
    <row r="4" customFormat="false" ht="15" hidden="false" customHeight="false" outlineLevel="0" collapsed="false">
      <c r="B4" s="13" t="s">
        <v>179</v>
      </c>
      <c r="C4" s="30" t="s">
        <v>125</v>
      </c>
      <c r="D4" s="31" t="s">
        <v>126</v>
      </c>
      <c r="E4" s="32" t="s">
        <v>127</v>
      </c>
      <c r="F4" s="13" t="s">
        <v>32</v>
      </c>
    </row>
    <row r="5" customFormat="false" ht="15" hidden="false" customHeight="false" outlineLevel="0" collapsed="false">
      <c r="B5" s="48" t="s">
        <v>180</v>
      </c>
      <c r="C5" s="49" t="n">
        <f aca="false">'★3_3케이스흐름'!C53</f>
        <v>387.1542</v>
      </c>
      <c r="D5" s="49" t="n">
        <f aca="false">'★3_3케이스흐름'!D53</f>
        <v>157.1452</v>
      </c>
      <c r="E5" s="49" t="n">
        <f aca="false">'★3_3케이스흐름'!E53</f>
        <v>-367.8002</v>
      </c>
      <c r="F5" s="50" t="s">
        <v>64</v>
      </c>
    </row>
    <row r="6" customFormat="false" ht="15" hidden="false" customHeight="false" outlineLevel="0" collapsed="false">
      <c r="B6" s="48" t="s">
        <v>181</v>
      </c>
      <c r="C6" s="49" t="n">
        <f aca="false">'★3_3케이스흐름'!C54</f>
        <v>-103.1595</v>
      </c>
      <c r="D6" s="49" t="n">
        <f aca="false">'★3_3케이스흐름'!D54</f>
        <v>162.0746</v>
      </c>
      <c r="E6" s="49" t="n">
        <f aca="false">'★3_3케이스흐름'!E54</f>
        <v>711.5246</v>
      </c>
      <c r="F6" s="50" t="s">
        <v>64</v>
      </c>
    </row>
    <row r="7" customFormat="false" ht="15" hidden="false" customHeight="false" outlineLevel="0" collapsed="false">
      <c r="B7" s="48" t="s">
        <v>182</v>
      </c>
      <c r="C7" s="49" t="n">
        <f aca="false">'★3_3케이스흐름'!C55</f>
        <v>-1923.6654</v>
      </c>
      <c r="D7" s="49" t="n">
        <f aca="false">'★3_3케이스흐름'!D55</f>
        <v>-1765.2003</v>
      </c>
      <c r="E7" s="49" t="n">
        <f aca="false">'★3_3케이스흐름'!E55</f>
        <v>-1788.603</v>
      </c>
      <c r="F7" s="50" t="s">
        <v>64</v>
      </c>
    </row>
    <row r="8" customFormat="false" ht="15" hidden="false" customHeight="false" outlineLevel="0" collapsed="false">
      <c r="B8" s="48" t="s">
        <v>183</v>
      </c>
      <c r="C8" s="51" t="n">
        <f aca="false">'★3_3케이스흐름'!C56</f>
        <v>1964.94753827553</v>
      </c>
      <c r="D8" s="51" t="n">
        <f aca="false">'★3_3케이스흐름'!D56</f>
        <v>1779.57716578076</v>
      </c>
      <c r="E8" s="51" t="n">
        <f aca="false">'★3_3케이스흐름'!E56</f>
        <v>1959.75634585889</v>
      </c>
      <c r="F8" s="50" t="s">
        <v>64</v>
      </c>
    </row>
    <row r="9" customFormat="false" ht="15" hidden="false" customHeight="false" outlineLevel="0" collapsed="false">
      <c r="B9" s="48" t="s">
        <v>184</v>
      </c>
      <c r="C9" s="52" t="n">
        <f aca="false">'★3_3케이스흐름'!C52</f>
        <v>1.12044500415534</v>
      </c>
      <c r="D9" s="52" t="n">
        <f aca="false">'★3_3케이스흐름'!D52</f>
        <v>1.0081464448444</v>
      </c>
      <c r="E9" s="52" t="n">
        <f aca="false">'★3_3케이스흐름'!E52</f>
        <v>1.13517460090857</v>
      </c>
      <c r="F9" s="50" t="s">
        <v>50</v>
      </c>
    </row>
    <row r="11" customFormat="false" ht="15" hidden="false" customHeight="false" outlineLevel="0" collapsed="false">
      <c r="B11" s="48" t="s">
        <v>185</v>
      </c>
      <c r="C11" s="53" t="n">
        <f aca="false">MAX('★3_3케이스흐름'!C56,'★3_3케이스흐름'!D56,'★3_3케이스흐름'!E56)</f>
        <v>1964.94753827553</v>
      </c>
      <c r="D11" s="54" t="s">
        <v>64</v>
      </c>
    </row>
    <row r="12" customFormat="false" ht="15" hidden="false" customHeight="false" outlineLevel="0" collapsed="false">
      <c r="B12" s="14" t="s">
        <v>186</v>
      </c>
      <c r="C12" s="55" t="str">
        <f aca="false">IF(C11='★3_3케이스흐름'!C56,"ACC",IF(C11='★3_3케이스흐름'!D56,"CON","DEC"))</f>
        <v>ACC</v>
      </c>
    </row>
    <row r="14" customFormat="false" ht="17.15" hidden="false" customHeight="true" outlineLevel="0" collapsed="false">
      <c r="B14" s="56" t="s">
        <v>187</v>
      </c>
      <c r="C14" s="56"/>
      <c r="D14" s="56"/>
      <c r="E14" s="56"/>
      <c r="F14" s="56"/>
    </row>
    <row r="15" customFormat="false" ht="15.75" hidden="false" customHeight="true" outlineLevel="0" collapsed="false">
      <c r="B15" s="57" t="s">
        <v>188</v>
      </c>
      <c r="C15" s="57"/>
      <c r="D15" s="57"/>
      <c r="E15" s="57"/>
      <c r="F15" s="57"/>
    </row>
    <row r="16" customFormat="false" ht="15.75" hidden="false" customHeight="true" outlineLevel="0" collapsed="false">
      <c r="B16" s="57" t="s">
        <v>189</v>
      </c>
      <c r="C16" s="57"/>
      <c r="D16" s="57"/>
      <c r="E16" s="57"/>
      <c r="F16" s="57"/>
    </row>
    <row r="17" customFormat="false" ht="15.75" hidden="false" customHeight="true" outlineLevel="0" collapsed="false">
      <c r="B17" s="57" t="s">
        <v>190</v>
      </c>
      <c r="C17" s="57"/>
      <c r="D17" s="57"/>
      <c r="E17" s="57"/>
      <c r="F17" s="57"/>
    </row>
    <row r="18" customFormat="false" ht="15.75" hidden="false" customHeight="true" outlineLevel="0" collapsed="false">
      <c r="B18" s="57" t="s">
        <v>191</v>
      </c>
      <c r="C18" s="57"/>
      <c r="D18" s="57"/>
      <c r="E18" s="57"/>
      <c r="F18" s="57"/>
    </row>
    <row r="19" customFormat="false" ht="15" hidden="false" customHeight="false" outlineLevel="0" collapsed="false">
      <c r="B19" s="57"/>
      <c r="C19" s="57"/>
      <c r="D19" s="57"/>
      <c r="E19" s="57"/>
      <c r="F19" s="57"/>
    </row>
    <row r="20" customFormat="false" ht="17.15" hidden="false" customHeight="true" outlineLevel="0" collapsed="false">
      <c r="B20" s="56" t="s">
        <v>192</v>
      </c>
      <c r="C20" s="56"/>
      <c r="D20" s="56"/>
      <c r="E20" s="56"/>
      <c r="F20" s="56"/>
    </row>
    <row r="21" customFormat="false" ht="15.75" hidden="false" customHeight="true" outlineLevel="0" collapsed="false">
      <c r="B21" s="57" t="s">
        <v>193</v>
      </c>
      <c r="C21" s="57"/>
      <c r="D21" s="57"/>
      <c r="E21" s="57"/>
      <c r="F21" s="57"/>
    </row>
    <row r="22" customFormat="false" ht="15.75" hidden="false" customHeight="true" outlineLevel="0" collapsed="false">
      <c r="B22" s="57" t="s">
        <v>194</v>
      </c>
      <c r="C22" s="57"/>
      <c r="D22" s="57"/>
      <c r="E22" s="57"/>
      <c r="F22" s="57"/>
    </row>
    <row r="23" customFormat="false" ht="15.75" hidden="false" customHeight="true" outlineLevel="0" collapsed="false">
      <c r="B23" s="57" t="s">
        <v>195</v>
      </c>
      <c r="C23" s="57"/>
      <c r="D23" s="57"/>
      <c r="E23" s="57"/>
      <c r="F23" s="57"/>
    </row>
    <row r="24" customFormat="false" ht="15" hidden="false" customHeight="false" outlineLevel="0" collapsed="false">
      <c r="B24" s="57"/>
      <c r="C24" s="57"/>
      <c r="D24" s="57"/>
      <c r="E24" s="57"/>
      <c r="F24" s="57"/>
    </row>
    <row r="25" customFormat="false" ht="17.15" hidden="false" customHeight="true" outlineLevel="0" collapsed="false">
      <c r="B25" s="56" t="s">
        <v>196</v>
      </c>
      <c r="C25" s="56"/>
      <c r="D25" s="56"/>
      <c r="E25" s="56"/>
      <c r="F25" s="56"/>
    </row>
    <row r="26" customFormat="false" ht="15.75" hidden="false" customHeight="true" outlineLevel="0" collapsed="false">
      <c r="B26" s="57" t="s">
        <v>197</v>
      </c>
      <c r="C26" s="57"/>
      <c r="D26" s="57"/>
      <c r="E26" s="57"/>
      <c r="F26" s="57"/>
    </row>
    <row r="27" customFormat="false" ht="15.75" hidden="false" customHeight="true" outlineLevel="0" collapsed="false">
      <c r="B27" s="58" t="s">
        <v>198</v>
      </c>
      <c r="C27" s="58"/>
      <c r="D27" s="58"/>
      <c r="E27" s="58"/>
      <c r="F27" s="58"/>
    </row>
  </sheetData>
  <mergeCells count="16">
    <mergeCell ref="B1:F1"/>
    <mergeCell ref="B2:F2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2026-06-23T01:09:05Z</dcterms:created>
  <dc:creator>openpyxl</dc:creator>
  <dc:description/>
  <dc:language>en-US</dc:language>
  <cp:lastModifiedBy/>
  <dcterms:modified xsi:type="dcterms:W3CDTF">2026-06-23T01:09:06Z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